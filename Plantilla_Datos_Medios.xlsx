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13" firstSheet="0" activeTab="1" autoFilterDateGrouping="1"/>
  </bookViews>
  <sheets>
    <sheet xmlns:r="http://schemas.openxmlformats.org/officeDocument/2006/relationships" name="Datos Medios" sheetId="1" state="visible" r:id="rId1"/>
    <sheet xmlns:r="http://schemas.openxmlformats.org/officeDocument/2006/relationships" name="Datos medios ult m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,&quot;K&quot;;\-#,##0,&quot;K&quot;"/>
    <numFmt numFmtId="165" formatCode="_-* #,##0.00_-;\-* #,##0.00_-;_-* &quot;-&quot;??_-;_-@_-"/>
    <numFmt numFmtId="166" formatCode="_-* #,##0.00\ _€_-;\-* #,##0.00\ _€_-;_-* &quot;-&quot;??\ _€_-;_-@_-"/>
    <numFmt numFmtId="167" formatCode="0.000%"/>
    <numFmt numFmtId="168" formatCode="0.0000%"/>
    <numFmt numFmtId="169" formatCode="0.00000%"/>
    <numFmt numFmtId="170" formatCode="0.0%"/>
  </numFmts>
  <fonts count="15">
    <font>
      <name val="Calibri"/>
      <family val="2"/>
      <color theme="1"/>
      <sz val="11"/>
      <scheme val="minor"/>
    </font>
    <font>
      <name val="Arial"/>
      <family val="2"/>
      <color rgb="FF666666"/>
      <sz val="9"/>
    </font>
    <font>
      <name val="Arial"/>
      <family val="2"/>
      <color rgb="FF333333"/>
      <sz val="9"/>
    </font>
    <font>
      <name val="Arial"/>
      <family val="2"/>
      <color rgb="FF333333"/>
      <sz val="8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i val="1"/>
      <color rgb="FFFF0000"/>
      <sz val="11"/>
      <scheme val="minor"/>
    </font>
    <font>
      <name val="Arial"/>
      <family val="2"/>
      <b val="1"/>
      <color rgb="FF666666"/>
      <sz val="9"/>
    </font>
    <font>
      <name val="Arial"/>
      <family val="2"/>
      <color rgb="FF333333"/>
      <sz val="9"/>
    </font>
    <font>
      <name val="Calibri"/>
      <family val="2"/>
      <i val="1"/>
      <color theme="1"/>
      <sz val="11"/>
      <scheme val="minor"/>
    </font>
    <font>
      <name val="Calibri Light"/>
      <family val="2"/>
      <color theme="1"/>
      <sz val="11"/>
      <scheme val="maj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6"/>
      <scheme val="minor"/>
    </font>
    <font>
      <name val="Arial"/>
      <family val="2"/>
      <color theme="1"/>
      <sz val="9"/>
    </font>
  </fonts>
  <fills count="9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7">
    <xf numFmtId="0" fontId="4" fillId="0" borderId="0"/>
    <xf numFmtId="43" fontId="4" fillId="0" borderId="0"/>
    <xf numFmtId="9" fontId="4" fillId="0" borderId="0"/>
    <xf numFmtId="0" fontId="5" fillId="2" borderId="1"/>
    <xf numFmtId="43" fontId="4" fillId="0" borderId="0"/>
    <xf numFmtId="43" fontId="4" fillId="0" borderId="0"/>
    <xf numFmtId="0" fontId="4" fillId="0" borderId="0"/>
  </cellStyleXfs>
  <cellXfs count="212">
    <xf numFmtId="0" fontId="0" fillId="0" borderId="0" pivotButton="0" quotePrefix="0" xfId="0"/>
    <xf numFmtId="10" fontId="2" fillId="0" borderId="0" applyAlignment="1" pivotButton="0" quotePrefix="0" xfId="0">
      <alignment vertical="center"/>
    </xf>
    <xf numFmtId="39" fontId="2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left"/>
    </xf>
    <xf numFmtId="165" fontId="2" fillId="0" borderId="0" applyAlignment="1" pivotButton="0" quotePrefix="0" xfId="1">
      <alignment vertical="center"/>
    </xf>
    <xf numFmtId="10" fontId="0" fillId="0" borderId="0" pivotButton="0" quotePrefix="0" xfId="2"/>
    <xf numFmtId="0" fontId="0" fillId="4" borderId="0" pivotButton="0" quotePrefix="0" xfId="0"/>
    <xf numFmtId="0" fontId="1" fillId="0" borderId="0" applyAlignment="1" pivotButton="0" quotePrefix="1" xfId="0">
      <alignment vertical="top"/>
    </xf>
    <xf numFmtId="166" fontId="0" fillId="0" borderId="0" pivotButton="0" quotePrefix="0" xfId="0"/>
    <xf numFmtId="0" fontId="3" fillId="0" borderId="0" applyAlignment="1" pivotButton="0" quotePrefix="1" xfId="0">
      <alignment vertical="center"/>
    </xf>
    <xf numFmtId="0" fontId="1" fillId="0" borderId="0" pivotButton="0" quotePrefix="1" xfId="0"/>
    <xf numFmtId="10" fontId="2" fillId="0" borderId="0" applyAlignment="1" pivotButton="0" quotePrefix="0" xfId="1">
      <alignment vertical="center"/>
    </xf>
    <xf numFmtId="165" fontId="2" fillId="0" borderId="0" applyAlignment="1" pivotButton="0" quotePrefix="0" xfId="4">
      <alignment vertical="center"/>
    </xf>
    <xf numFmtId="0" fontId="1" fillId="6" borderId="0" applyAlignment="1" pivotButton="0" quotePrefix="1" xfId="0">
      <alignment horizontal="left" vertical="top"/>
    </xf>
    <xf numFmtId="165" fontId="2" fillId="6" borderId="0" applyAlignment="1" pivotButton="0" quotePrefix="0" xfId="1">
      <alignment vertical="center"/>
    </xf>
    <xf numFmtId="39" fontId="2" fillId="6" borderId="0" applyAlignment="1" pivotButton="0" quotePrefix="0" xfId="0">
      <alignment vertical="center"/>
    </xf>
    <xf numFmtId="10" fontId="2" fillId="6" borderId="0" applyAlignment="1" pivotButton="0" quotePrefix="0" xfId="0">
      <alignment vertical="center"/>
    </xf>
    <xf numFmtId="39" fontId="2" fillId="0" borderId="6" applyAlignment="1" pivotButton="0" quotePrefix="0" xfId="0">
      <alignment vertical="center"/>
    </xf>
    <xf numFmtId="0" fontId="1" fillId="0" borderId="8" applyAlignment="1" pivotButton="0" quotePrefix="1" xfId="0">
      <alignment horizontal="left" vertical="top"/>
    </xf>
    <xf numFmtId="165" fontId="2" fillId="0" borderId="8" applyAlignment="1" pivotButton="0" quotePrefix="0" xfId="1">
      <alignment vertical="center"/>
    </xf>
    <xf numFmtId="39" fontId="2" fillId="0" borderId="8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39" fontId="2" fillId="0" borderId="9" applyAlignment="1" pivotButton="0" quotePrefix="0" xfId="0">
      <alignment vertical="center"/>
    </xf>
    <xf numFmtId="0" fontId="1" fillId="0" borderId="3" applyAlignment="1" pivotButton="0" quotePrefix="1" xfId="0">
      <alignment horizontal="left" vertical="top"/>
    </xf>
    <xf numFmtId="165" fontId="2" fillId="0" borderId="3" applyAlignment="1" pivotButton="0" quotePrefix="0" xfId="1">
      <alignment vertical="center"/>
    </xf>
    <xf numFmtId="39" fontId="2" fillId="0" borderId="3" applyAlignment="1" pivotButton="0" quotePrefix="0" xfId="0">
      <alignment vertical="center"/>
    </xf>
    <xf numFmtId="10" fontId="2" fillId="0" borderId="3" applyAlignment="1" pivotButton="0" quotePrefix="0" xfId="0">
      <alignment vertical="center"/>
    </xf>
    <xf numFmtId="39" fontId="2" fillId="0" borderId="4" applyAlignment="1" pivotButton="0" quotePrefix="0" xfId="0">
      <alignment vertical="center"/>
    </xf>
    <xf numFmtId="10" fontId="2" fillId="3" borderId="0" applyAlignment="1" pivotButton="0" quotePrefix="0" xfId="0">
      <alignment vertical="center"/>
    </xf>
    <xf numFmtId="10" fontId="2" fillId="3" borderId="8" applyAlignment="1" pivotButton="0" quotePrefix="0" xfId="0">
      <alignment vertical="center"/>
    </xf>
    <xf numFmtId="39" fontId="2" fillId="4" borderId="3" applyAlignment="1" pivotButton="0" quotePrefix="0" xfId="0">
      <alignment vertical="center"/>
    </xf>
    <xf numFmtId="39" fontId="2" fillId="4" borderId="8" applyAlignment="1" pivotButton="0" quotePrefix="0" xfId="0">
      <alignment vertical="center"/>
    </xf>
    <xf numFmtId="165" fontId="2" fillId="0" borderId="0" applyAlignment="1" pivotButton="0" quotePrefix="0" xfId="5">
      <alignment vertical="center"/>
    </xf>
    <xf numFmtId="0" fontId="1" fillId="0" borderId="2" applyAlignment="1" pivotButton="0" quotePrefix="1" xfId="0">
      <alignment vertical="top"/>
    </xf>
    <xf numFmtId="0" fontId="1" fillId="0" borderId="3" applyAlignment="1" pivotButton="0" quotePrefix="1" xfId="0">
      <alignment vertical="top"/>
    </xf>
    <xf numFmtId="0" fontId="0" fillId="0" borderId="3" pivotButton="0" quotePrefix="0" xfId="0"/>
    <xf numFmtId="166" fontId="0" fillId="0" borderId="4" pivotButton="0" quotePrefix="0" xfId="0"/>
    <xf numFmtId="0" fontId="1" fillId="0" borderId="5" applyAlignment="1" pivotButton="0" quotePrefix="1" xfId="0">
      <alignment vertical="top"/>
    </xf>
    <xf numFmtId="0" fontId="1" fillId="0" borderId="7" applyAlignment="1" pivotButton="0" quotePrefix="1" xfId="0">
      <alignment vertical="top"/>
    </xf>
    <xf numFmtId="0" fontId="1" fillId="0" borderId="8" applyAlignment="1" pivotButton="0" quotePrefix="1" xfId="0">
      <alignment vertical="top"/>
    </xf>
    <xf numFmtId="0" fontId="0" fillId="0" borderId="8" pivotButton="0" quotePrefix="0" xfId="0"/>
    <xf numFmtId="166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2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0" borderId="13" applyAlignment="1" pivotButton="0" quotePrefix="1" xfId="0">
      <alignment horizontal="left"/>
    </xf>
    <xf numFmtId="165" fontId="2" fillId="0" borderId="0" applyAlignment="1" pivotButton="0" quotePrefix="0" xfId="0">
      <alignment vertical="center"/>
    </xf>
    <xf numFmtId="2" fontId="0" fillId="0" borderId="0" pivotButton="0" quotePrefix="0" xfId="0"/>
    <xf numFmtId="10" fontId="0" fillId="0" borderId="14" pivotButton="0" quotePrefix="0" xfId="2"/>
    <xf numFmtId="165" fontId="2" fillId="3" borderId="0" applyAlignment="1" pivotButton="0" quotePrefix="0" xfId="1">
      <alignment vertical="center"/>
    </xf>
    <xf numFmtId="39" fontId="2" fillId="3" borderId="0" applyAlignment="1" pivotButton="0" quotePrefix="0" xfId="0">
      <alignment vertical="center"/>
    </xf>
    <xf numFmtId="0" fontId="6" fillId="0" borderId="0" pivotButton="0" quotePrefix="0" xfId="0"/>
    <xf numFmtId="165" fontId="2" fillId="4" borderId="0" applyAlignment="1" pivotButton="0" quotePrefix="0" xfId="1">
      <alignment vertical="center"/>
    </xf>
    <xf numFmtId="10" fontId="2" fillId="4" borderId="0" applyAlignment="1" pivotButton="0" quotePrefix="0" xfId="0">
      <alignment vertical="center"/>
    </xf>
    <xf numFmtId="2" fontId="0" fillId="4" borderId="0" pivotButton="0" quotePrefix="0" xfId="0"/>
    <xf numFmtId="10" fontId="0" fillId="4" borderId="14" pivotButton="0" quotePrefix="0" xfId="2"/>
    <xf numFmtId="2" fontId="0" fillId="5" borderId="0" pivotButton="0" quotePrefix="0" xfId="0"/>
    <xf numFmtId="0" fontId="7" fillId="0" borderId="0" applyAlignment="1" pivotButton="0" quotePrefix="0" xfId="0">
      <alignment horizontal="left" vertical="top"/>
    </xf>
    <xf numFmtId="165" fontId="8" fillId="0" borderId="0" applyAlignment="1" pivotButton="0" quotePrefix="0" xfId="1">
      <alignment vertical="center"/>
    </xf>
    <xf numFmtId="0" fontId="9" fillId="0" borderId="0" pivotButton="0" quotePrefix="0" xfId="0"/>
    <xf numFmtId="0" fontId="5" fillId="2" borderId="15" pivotButton="0" quotePrefix="0" xfId="3"/>
    <xf numFmtId="0" fontId="1" fillId="3" borderId="0" applyAlignment="1" pivotButton="0" quotePrefix="1" xfId="0">
      <alignment horizontal="left" vertical="top"/>
    </xf>
    <xf numFmtId="39" fontId="2" fillId="4" borderId="0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2" fontId="0" fillId="0" borderId="0" pivotButton="0" quotePrefix="0" xfId="2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0" fontId="0" fillId="0" borderId="21" pivotButton="0" quotePrefix="0" xfId="2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0" fontId="0" fillId="0" borderId="26" pivotButton="0" quotePrefix="0" xfId="2"/>
    <xf numFmtId="0" fontId="0" fillId="0" borderId="28" pivotButton="0" quotePrefix="0" xfId="0"/>
    <xf numFmtId="2" fontId="2" fillId="0" borderId="0" applyAlignment="1" pivotButton="0" quotePrefix="0" xfId="0">
      <alignment vertical="center"/>
    </xf>
    <xf numFmtId="4" fontId="2" fillId="0" borderId="0" applyAlignment="1" pivotButton="0" quotePrefix="0" xfId="1">
      <alignment vertical="center"/>
    </xf>
    <xf numFmtId="165" fontId="0" fillId="0" borderId="0" pivotButton="0" quotePrefix="0" xfId="0"/>
    <xf numFmtId="10" fontId="0" fillId="4" borderId="0" pivotButton="0" quotePrefix="0" xfId="2"/>
    <xf numFmtId="166" fontId="0" fillId="4" borderId="26" pivotButton="0" quotePrefix="0" xfId="0"/>
    <xf numFmtId="165" fontId="0" fillId="4" borderId="26" pivotButton="0" quotePrefix="0" xfId="0"/>
    <xf numFmtId="10" fontId="0" fillId="4" borderId="26" pivotButton="0" quotePrefix="0" xfId="2"/>
    <xf numFmtId="0" fontId="3" fillId="0" borderId="24" applyAlignment="1" pivotButton="0" quotePrefix="1" xfId="0">
      <alignment horizontal="left"/>
    </xf>
    <xf numFmtId="0" fontId="10" fillId="3" borderId="24" pivotButton="0" quotePrefix="0" xfId="0"/>
    <xf numFmtId="0" fontId="9" fillId="0" borderId="26" pivotButton="0" quotePrefix="0" xfId="0"/>
    <xf numFmtId="10" fontId="2" fillId="0" borderId="3" applyAlignment="1" pivotButton="0" quotePrefix="0" xfId="5">
      <alignment vertical="center"/>
    </xf>
    <xf numFmtId="10" fontId="2" fillId="0" borderId="3" applyAlignment="1" pivotButton="0" quotePrefix="0" xfId="1">
      <alignment vertical="center"/>
    </xf>
    <xf numFmtId="10" fontId="2" fillId="0" borderId="0" applyAlignment="1" pivotButton="0" quotePrefix="0" xfId="2">
      <alignment vertical="center"/>
    </xf>
    <xf numFmtId="167" fontId="2" fillId="0" borderId="0" applyAlignment="1" pivotButton="0" quotePrefix="0" xfId="2">
      <alignment vertical="center"/>
    </xf>
    <xf numFmtId="0" fontId="11" fillId="0" borderId="0" pivotButton="0" quotePrefix="0" xfId="0"/>
    <xf numFmtId="0" fontId="1" fillId="0" borderId="0" applyAlignment="1" pivotButton="0" quotePrefix="0" xfId="0">
      <alignment horizontal="left" vertical="top"/>
    </xf>
    <xf numFmtId="166" fontId="0" fillId="0" borderId="26" pivotButton="0" quotePrefix="0" xfId="0"/>
    <xf numFmtId="168" fontId="2" fillId="0" borderId="3" applyAlignment="1" pivotButton="0" quotePrefix="0" xfId="2">
      <alignment vertical="center"/>
    </xf>
    <xf numFmtId="169" fontId="2" fillId="0" borderId="3" applyAlignment="1" pivotButton="0" quotePrefix="0" xfId="2">
      <alignment vertical="center"/>
    </xf>
    <xf numFmtId="4" fontId="0" fillId="0" borderId="11" pivotButton="0" quotePrefix="0" xfId="0"/>
    <xf numFmtId="4" fontId="0" fillId="0" borderId="0" pivotButton="0" quotePrefix="0" xfId="0"/>
    <xf numFmtId="4" fontId="2" fillId="0" borderId="0" applyAlignment="1" pivotButton="0" quotePrefix="0" xfId="0">
      <alignment vertical="center"/>
    </xf>
    <xf numFmtId="2" fontId="2" fillId="0" borderId="0" applyAlignment="1" pivotButton="0" quotePrefix="0" xfId="1">
      <alignment vertical="center"/>
    </xf>
    <xf numFmtId="10" fontId="0" fillId="6" borderId="0" pivotButton="0" quotePrefix="0" xfId="2"/>
    <xf numFmtId="167" fontId="2" fillId="4" borderId="0" applyAlignment="1" pivotButton="0" quotePrefix="0" xfId="2">
      <alignment vertical="center"/>
    </xf>
    <xf numFmtId="165" fontId="2" fillId="0" borderId="4" applyAlignment="1" pivotButton="0" quotePrefix="0" xfId="1">
      <alignment vertical="center"/>
    </xf>
    <xf numFmtId="165" fontId="2" fillId="0" borderId="6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39" fontId="2" fillId="0" borderId="30" applyAlignment="1" pivotButton="0" quotePrefix="0" xfId="0">
      <alignment vertical="center"/>
    </xf>
    <xf numFmtId="10" fontId="2" fillId="0" borderId="30" applyAlignment="1" pivotButton="0" quotePrefix="0" xfId="0">
      <alignment vertical="center"/>
    </xf>
    <xf numFmtId="39" fontId="2" fillId="0" borderId="31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70" fontId="2" fillId="0" borderId="0" applyAlignment="1" pivotButton="0" quotePrefix="0" xfId="2">
      <alignment vertical="center"/>
    </xf>
    <xf numFmtId="166" fontId="0" fillId="4" borderId="0" pivotButton="0" quotePrefix="0" xfId="0"/>
    <xf numFmtId="4" fontId="2" fillId="0" borderId="3" applyAlignment="1" pivotButton="0" quotePrefix="0" xfId="0">
      <alignment vertical="center"/>
    </xf>
    <xf numFmtId="0" fontId="1" fillId="0" borderId="0" applyAlignment="1" pivotButton="0" quotePrefix="1" xfId="0">
      <alignment horizontal="center" vertical="top"/>
    </xf>
    <xf numFmtId="0" fontId="0" fillId="0" borderId="5" pivotButton="0" quotePrefix="0" xfId="0"/>
    <xf numFmtId="0" fontId="13" fillId="4" borderId="0" applyAlignment="1" pivotButton="0" quotePrefix="0" xfId="0">
      <alignment horizontal="center" wrapText="1"/>
    </xf>
    <xf numFmtId="10" fontId="0" fillId="4" borderId="0" pivotButton="0" quotePrefix="0" xfId="0"/>
    <xf numFmtId="4" fontId="0" fillId="0" borderId="0" pivotButton="0" quotePrefix="0" xfId="2"/>
    <xf numFmtId="166" fontId="0" fillId="7" borderId="0" pivotButton="0" quotePrefix="0" xfId="0"/>
    <xf numFmtId="9" fontId="2" fillId="0" borderId="0" applyAlignment="1" pivotButton="0" quotePrefix="0" xfId="2">
      <alignment vertical="center"/>
    </xf>
    <xf numFmtId="165" fontId="0" fillId="4" borderId="0" pivotButton="0" quotePrefix="0" xfId="2"/>
    <xf numFmtId="4" fontId="0" fillId="4" borderId="0" pivotButton="0" quotePrefix="0" xfId="0"/>
    <xf numFmtId="165" fontId="2" fillId="4" borderId="0" applyAlignment="1" pivotButton="0" quotePrefix="0" xfId="0">
      <alignment vertical="center"/>
    </xf>
    <xf numFmtId="10" fontId="2" fillId="3" borderId="0" applyAlignment="1" pivotButton="0" quotePrefix="0" xfId="1">
      <alignment vertical="center"/>
    </xf>
    <xf numFmtId="0" fontId="1" fillId="8" borderId="3" applyAlignment="1" pivotButton="0" quotePrefix="1" xfId="0">
      <alignment horizontal="left" vertical="top"/>
    </xf>
    <xf numFmtId="0" fontId="1" fillId="8" borderId="0" applyAlignment="1" pivotButton="0" quotePrefix="1" xfId="0">
      <alignment horizontal="center"/>
    </xf>
    <xf numFmtId="165" fontId="2" fillId="8" borderId="0" applyAlignment="1" pivotButton="0" quotePrefix="0" xfId="1">
      <alignment vertical="center"/>
    </xf>
    <xf numFmtId="39" fontId="2" fillId="8" borderId="0" applyAlignment="1" pivotButton="0" quotePrefix="0" xfId="0">
      <alignment vertical="center"/>
    </xf>
    <xf numFmtId="10" fontId="2" fillId="8" borderId="0" applyAlignment="1" pivotButton="0" quotePrefix="0" xfId="0">
      <alignment vertical="center"/>
    </xf>
    <xf numFmtId="165" fontId="2" fillId="4" borderId="0" applyAlignment="1" pivotButton="0" quotePrefix="0" xfId="4">
      <alignment vertical="center"/>
    </xf>
    <xf numFmtId="165" fontId="2" fillId="4" borderId="3" applyAlignment="1" pivotButton="0" quotePrefix="0" xfId="1">
      <alignment vertical="center"/>
    </xf>
    <xf numFmtId="168" fontId="2" fillId="4" borderId="3" applyAlignment="1" pivotButton="0" quotePrefix="0" xfId="2">
      <alignment vertical="center"/>
    </xf>
    <xf numFmtId="169" fontId="2" fillId="4" borderId="3" applyAlignment="1" pivotButton="0" quotePrefix="0" xfId="2">
      <alignment vertical="center"/>
    </xf>
    <xf numFmtId="10" fontId="2" fillId="4" borderId="3" applyAlignment="1" pivotButton="0" quotePrefix="0" xfId="1">
      <alignment vertical="center"/>
    </xf>
    <xf numFmtId="0" fontId="12" fillId="0" borderId="0" pivotButton="0" quotePrefix="0" xfId="0"/>
    <xf numFmtId="4" fontId="14" fillId="0" borderId="0" pivotButton="0" quotePrefix="0" xfId="0"/>
    <xf numFmtId="0" fontId="14" fillId="0" borderId="0" pivotButton="0" quotePrefix="0" xfId="0"/>
    <xf numFmtId="2" fontId="0" fillId="8" borderId="0" pivotButton="0" quotePrefix="0" xfId="0"/>
    <xf numFmtId="0" fontId="3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" fillId="0" borderId="8" applyAlignment="1" pivotButton="0" quotePrefix="1" xfId="0">
      <alignment horizontal="center" vertical="top"/>
    </xf>
    <xf numFmtId="0" fontId="0" fillId="0" borderId="8" pivotButton="0" quotePrefix="0" xfId="0"/>
    <xf numFmtId="0" fontId="3" fillId="0" borderId="11" applyAlignment="1" pivotButton="0" quotePrefix="1" xfId="0">
      <alignment horizontal="center" vertical="center"/>
    </xf>
    <xf numFmtId="0" fontId="0" fillId="0" borderId="11" pivotButton="0" quotePrefix="0" xfId="0"/>
    <xf numFmtId="0" fontId="1" fillId="0" borderId="0" applyAlignment="1" pivotButton="0" quotePrefix="1" xfId="0">
      <alignment horizontal="left" vertical="top"/>
    </xf>
    <xf numFmtId="0" fontId="1" fillId="0" borderId="13" applyAlignment="1" pivotButton="0" quotePrefix="1" xfId="0">
      <alignment horizontal="left" vertical="top"/>
    </xf>
    <xf numFmtId="0" fontId="1" fillId="0" borderId="0" applyAlignment="1" pivotButton="0" quotePrefix="1" xfId="0">
      <alignment horizontal="center" vertical="top"/>
    </xf>
    <xf numFmtId="0" fontId="1" fillId="0" borderId="0" applyAlignment="1" pivotButton="0" quotePrefix="1" xfId="0">
      <alignment horizontal="center"/>
    </xf>
    <xf numFmtId="0" fontId="1" fillId="0" borderId="29" applyAlignment="1" pivotButton="0" quotePrefix="1" xfId="0">
      <alignment horizontal="left" vertical="top"/>
    </xf>
    <xf numFmtId="0" fontId="0" fillId="0" borderId="7" pivotButton="0" quotePrefix="0" xfId="0"/>
    <xf numFmtId="10" fontId="0" fillId="4" borderId="32" applyAlignment="1" pivotButton="0" quotePrefix="0" xfId="2">
      <alignment horizontal="center" vertical="center" wrapText="1"/>
    </xf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10" fontId="0" fillId="0" borderId="0" pivotButton="0" quotePrefix="0" xfId="2"/>
    <xf numFmtId="0" fontId="0" fillId="0" borderId="19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13" pivotButton="0" quotePrefix="0" xfId="0"/>
    <xf numFmtId="0" fontId="13" fillId="4" borderId="11" applyAlignment="1" pivotButton="0" quotePrefix="0" xfId="0">
      <alignment horizontal="center" wrapText="1"/>
    </xf>
    <xf numFmtId="0" fontId="0" fillId="0" borderId="5" pivotButton="0" quotePrefix="0" xfId="0"/>
    <xf numFmtId="0" fontId="1" fillId="0" borderId="24" applyAlignment="1" pivotButton="0" quotePrefix="1" xfId="0">
      <alignment horizontal="left" vertical="top"/>
    </xf>
    <xf numFmtId="0" fontId="1" fillId="0" borderId="0" applyAlignment="1" pivotButton="0" quotePrefix="1" xfId="0">
      <alignment vertical="top"/>
    </xf>
    <xf numFmtId="0" fontId="1" fillId="0" borderId="3" applyAlignment="1" pivotButton="0" quotePrefix="1" xfId="0">
      <alignment horizontal="left" vertical="top"/>
    </xf>
    <xf numFmtId="0" fontId="0" fillId="0" borderId="3" pivotButton="0" quotePrefix="0" xfId="0"/>
    <xf numFmtId="0" fontId="0" fillId="0" borderId="30" pivotButton="0" quotePrefix="0" xfId="0"/>
    <xf numFmtId="0" fontId="1" fillId="0" borderId="21" applyAlignment="1" pivotButton="0" quotePrefix="1" xfId="0">
      <alignment horizontal="center"/>
    </xf>
    <xf numFmtId="0" fontId="1" fillId="0" borderId="8" applyAlignment="1" pivotButton="0" quotePrefix="1" xfId="0">
      <alignment horizontal="left" vertical="top"/>
    </xf>
    <xf numFmtId="165" fontId="2" fillId="8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165" fontId="2" fillId="0" borderId="0" applyAlignment="1" pivotButton="0" quotePrefix="0" xfId="0">
      <alignment vertical="center"/>
    </xf>
    <xf numFmtId="165" fontId="2" fillId="4" borderId="0" applyAlignment="1" pivotButton="0" quotePrefix="0" xfId="1">
      <alignment vertical="center"/>
    </xf>
    <xf numFmtId="166" fontId="0" fillId="0" borderId="0" pivotButton="0" quotePrefix="0" xfId="0"/>
    <xf numFmtId="165" fontId="0" fillId="0" borderId="0" pivotButton="0" quotePrefix="0" xfId="0"/>
    <xf numFmtId="165" fontId="2" fillId="3" borderId="0" applyAlignment="1" pivotButton="0" quotePrefix="0" xfId="1">
      <alignment vertical="center"/>
    </xf>
    <xf numFmtId="165" fontId="8" fillId="0" borderId="0" applyAlignment="1" pivotButton="0" quotePrefix="0" xfId="1">
      <alignment vertical="center"/>
    </xf>
    <xf numFmtId="165" fontId="2" fillId="0" borderId="0" applyAlignment="1" pivotButton="0" quotePrefix="0" xfId="4">
      <alignment vertical="center"/>
    </xf>
    <xf numFmtId="165" fontId="2" fillId="4" borderId="0" applyAlignment="1" pivotButton="0" quotePrefix="0" xfId="4">
      <alignment vertical="center"/>
    </xf>
    <xf numFmtId="167" fontId="2" fillId="0" borderId="0" applyAlignment="1" pivotButton="0" quotePrefix="0" xfId="2">
      <alignment vertical="center"/>
    </xf>
    <xf numFmtId="166" fontId="0" fillId="4" borderId="0" pivotButton="0" quotePrefix="0" xfId="0"/>
    <xf numFmtId="167" fontId="2" fillId="4" borderId="0" applyAlignment="1" pivotButton="0" quotePrefix="0" xfId="2">
      <alignment vertical="center"/>
    </xf>
    <xf numFmtId="165" fontId="2" fillId="6" borderId="0" applyAlignment="1" pivotButton="0" quotePrefix="0" xfId="1">
      <alignment vertical="center"/>
    </xf>
    <xf numFmtId="165" fontId="2" fillId="0" borderId="3" applyAlignment="1" pivotButton="0" quotePrefix="0" xfId="1">
      <alignment vertical="center"/>
    </xf>
    <xf numFmtId="168" fontId="2" fillId="0" borderId="3" applyAlignment="1" pivotButton="0" quotePrefix="0" xfId="2">
      <alignment vertical="center"/>
    </xf>
    <xf numFmtId="169" fontId="2" fillId="0" borderId="3" applyAlignment="1" pivotButton="0" quotePrefix="0" xfId="2">
      <alignment vertical="center"/>
    </xf>
    <xf numFmtId="165" fontId="2" fillId="4" borderId="3" applyAlignment="1" pivotButton="0" quotePrefix="0" xfId="1">
      <alignment vertical="center"/>
    </xf>
    <xf numFmtId="168" fontId="2" fillId="4" borderId="3" applyAlignment="1" pivotButton="0" quotePrefix="0" xfId="2">
      <alignment vertical="center"/>
    </xf>
    <xf numFmtId="169" fontId="2" fillId="4" borderId="3" applyAlignment="1" pivotButton="0" quotePrefix="0" xfId="2">
      <alignment vertical="center"/>
    </xf>
    <xf numFmtId="165" fontId="2" fillId="0" borderId="8" applyAlignment="1" pivotButton="0" quotePrefix="0" xfId="1">
      <alignment vertical="center"/>
    </xf>
    <xf numFmtId="165" fontId="2" fillId="4" borderId="0" applyAlignment="1" pivotButton="0" quotePrefix="0" xfId="0">
      <alignment vertical="center"/>
    </xf>
    <xf numFmtId="165" fontId="0" fillId="4" borderId="0" pivotButton="0" quotePrefix="0" xfId="2"/>
    <xf numFmtId="166" fontId="0" fillId="4" borderId="26" pivotButton="0" quotePrefix="0" xfId="0"/>
    <xf numFmtId="165" fontId="0" fillId="4" borderId="26" pivotButton="0" quotePrefix="0" xfId="0"/>
    <xf numFmtId="165" fontId="2" fillId="0" borderId="0" applyAlignment="1" pivotButton="0" quotePrefix="0" xfId="5">
      <alignment vertical="center"/>
    </xf>
    <xf numFmtId="170" fontId="2" fillId="0" borderId="0" applyAlignment="1" pivotButton="0" quotePrefix="0" xfId="2">
      <alignment vertical="center"/>
    </xf>
    <xf numFmtId="165" fontId="2" fillId="0" borderId="6" applyAlignment="1" pivotButton="0" quotePrefix="0" xfId="1">
      <alignment vertical="center"/>
    </xf>
    <xf numFmtId="165" fontId="2" fillId="0" borderId="4" applyAlignment="1" pivotButton="0" quotePrefix="0" xfId="1">
      <alignment vertical="center"/>
    </xf>
    <xf numFmtId="166" fontId="0" fillId="0" borderId="26" pivotButton="0" quotePrefix="0" xfId="0"/>
    <xf numFmtId="166" fontId="0" fillId="7" borderId="0" pivotButton="0" quotePrefix="0" xfId="0"/>
    <xf numFmtId="166" fontId="0" fillId="0" borderId="4" pivotButton="0" quotePrefix="0" xfId="0"/>
    <xf numFmtId="166" fontId="0" fillId="0" borderId="9" pivotButton="0" quotePrefix="0" xfId="0"/>
  </cellXfs>
  <cellStyles count="7">
    <cellStyle name="Normal" xfId="0" builtinId="0"/>
    <cellStyle name="Millares" xfId="1" builtinId="3"/>
    <cellStyle name="Porcentaje" xfId="2" builtinId="5"/>
    <cellStyle name="Entrada" xfId="3" builtinId="20"/>
    <cellStyle name="Millares 2" xfId="4"/>
    <cellStyle name="Millares 3" xfId="5"/>
    <cellStyle name="Normal 3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20"/>
  <sheetViews>
    <sheetView topLeftCell="A74" zoomScaleNormal="100" workbookViewId="0">
      <selection activeCell="F99" sqref="F99:M102"/>
    </sheetView>
  </sheetViews>
  <sheetFormatPr baseColWidth="10" defaultColWidth="9.140625" defaultRowHeight="15"/>
  <cols>
    <col width="17.42578125" bestFit="1" customWidth="1" style="149" min="1" max="1"/>
    <col width="18.42578125" bestFit="1" customWidth="1" style="149" min="2" max="2"/>
    <col width="10.28515625" bestFit="1" customWidth="1" style="149" min="3" max="3"/>
    <col width="34.85546875" bestFit="1" customWidth="1" style="149" min="4" max="4"/>
    <col width="24.5703125" customWidth="1" style="149" min="5" max="5"/>
    <col width="20" customWidth="1" style="149" min="6" max="6"/>
    <col width="15.5703125" bestFit="1" customWidth="1" style="149" min="7" max="7"/>
    <col width="11.5703125" bestFit="1" customWidth="1" style="149" min="8" max="8"/>
    <col width="12.5703125" bestFit="1" customWidth="1" style="149" min="9" max="12"/>
    <col width="13.5703125" customWidth="1" style="149" min="13" max="13"/>
    <col width="12.140625" bestFit="1" customWidth="1" style="149" min="15" max="15"/>
    <col width="38" bestFit="1" customWidth="1" style="149" min="17" max="17"/>
    <col width="21.42578125" customWidth="1" style="149" min="18" max="18"/>
    <col width="11.7109375" bestFit="1" customWidth="1" style="149" min="20" max="20"/>
    <col width="12.140625" bestFit="1" customWidth="1" style="149" min="21" max="21"/>
    <col width="13.5703125" bestFit="1" customWidth="1" style="149" min="22" max="22"/>
    <col width="12.42578125" bestFit="1" customWidth="1" style="149" min="24" max="24"/>
    <col width="12.140625" bestFit="1" customWidth="1" style="149" min="25" max="25"/>
    <col width="12.42578125" bestFit="1" customWidth="1" style="149" min="26" max="26"/>
    <col width="14.140625" bestFit="1" customWidth="1" style="149" min="27" max="27"/>
    <col width="11.85546875" bestFit="1" customWidth="1" style="149" min="28" max="28"/>
    <col width="13.42578125" bestFit="1" customWidth="1" style="149" min="29" max="29"/>
    <col width="35.42578125" bestFit="1" customWidth="1" style="149" min="30" max="30"/>
    <col width="15.28515625" bestFit="1" customWidth="1" style="149" min="31" max="31"/>
    <col width="12.85546875" customWidth="1" style="149" min="32" max="32"/>
    <col width="13" bestFit="1" customWidth="1" style="149" min="33" max="33"/>
    <col width="13.42578125" bestFit="1" customWidth="1" style="164" min="34" max="34"/>
    <col width="13.85546875" bestFit="1" customWidth="1" style="164" min="35" max="35"/>
    <col width="12.28515625" bestFit="1" customWidth="1" style="149" min="36" max="36"/>
    <col width="9.28515625" bestFit="1" customWidth="1" style="164" min="37" max="37"/>
    <col width="12" bestFit="1" customWidth="1" style="149" min="38" max="38"/>
  </cols>
  <sheetData>
    <row r="1" ht="15.75" customHeight="1" s="149" thickBot="1">
      <c r="E1" s="148" t="inlineStr">
        <is>
          <t>Load Code</t>
        </is>
      </c>
      <c r="O1" s="45" t="n"/>
      <c r="P1" s="153" t="n"/>
      <c r="Q1" s="153" t="n"/>
      <c r="R1" s="152" t="inlineStr">
        <is>
          <t>Load Code</t>
        </is>
      </c>
      <c r="S1" s="153" t="n"/>
      <c r="T1" s="153" t="n"/>
      <c r="U1" s="153" t="n"/>
      <c r="V1" s="153" t="n"/>
      <c r="W1" s="153" t="n"/>
      <c r="X1" s="153" t="n"/>
      <c r="Y1" s="153" t="n"/>
      <c r="Z1" s="153" t="n"/>
      <c r="AA1" s="104" t="n">
        <v>1000000</v>
      </c>
      <c r="AB1" s="153" t="n"/>
      <c r="AC1" s="153" t="n"/>
      <c r="AD1" s="153" t="n"/>
      <c r="AE1" s="47" t="n"/>
      <c r="AF1" s="153" t="n"/>
      <c r="AG1" s="48" t="n"/>
    </row>
    <row r="2">
      <c r="B2" s="9" t="inlineStr">
        <is>
          <t>JER BALANCE</t>
        </is>
      </c>
      <c r="E2" s="157" t="inlineStr">
        <is>
          <t>IRRBB</t>
        </is>
      </c>
      <c r="O2" s="169" t="n"/>
      <c r="R2" s="157" t="inlineStr">
        <is>
          <t>IRRBB</t>
        </is>
      </c>
      <c r="AB2" s="74" t="n"/>
      <c r="AC2" s="161" t="n"/>
      <c r="AD2" s="161" t="n"/>
      <c r="AE2" s="161" t="n"/>
      <c r="AF2" s="161" t="n"/>
      <c r="AG2" s="76" t="n"/>
      <c r="AH2" s="77" t="n"/>
      <c r="AI2" s="77" t="n"/>
      <c r="AJ2" s="161" t="n"/>
      <c r="AK2" s="77" t="n"/>
      <c r="AL2" s="161" t="n"/>
      <c r="AM2" s="162" t="n"/>
    </row>
    <row r="3">
      <c r="B3" s="6" t="inlineStr">
        <is>
          <t>01. JER. A&amp;P</t>
        </is>
      </c>
      <c r="C3" s="6" t="inlineStr">
        <is>
          <t>Variable_Fijo</t>
        </is>
      </c>
      <c r="D3" s="6" t="inlineStr">
        <is>
          <t>02. JER. BALANCE</t>
        </is>
      </c>
      <c r="E3" s="135" t="inlineStr">
        <is>
          <t>Notional Today</t>
        </is>
      </c>
      <c r="F3" s="135" t="inlineStr">
        <is>
          <t>Vto medio</t>
        </is>
      </c>
      <c r="G3" s="135" t="inlineStr">
        <is>
          <t>Cupon medio</t>
        </is>
      </c>
      <c r="H3" s="135" t="inlineStr">
        <is>
          <t>Spread medio</t>
        </is>
      </c>
      <c r="I3" s="135" t="inlineStr">
        <is>
          <t>Reprecio medio</t>
        </is>
      </c>
      <c r="J3" s="135" t="inlineStr">
        <is>
          <t>Floor medio</t>
        </is>
      </c>
      <c r="K3" s="135" t="inlineStr">
        <is>
          <t>Dur. Efec. Pond</t>
        </is>
      </c>
      <c r="L3" s="135" t="inlineStr">
        <is>
          <t>Dur. Mac. Pond</t>
        </is>
      </c>
      <c r="O3" s="51" t="inlineStr">
        <is>
          <t>01. JER. A&amp;P</t>
        </is>
      </c>
      <c r="P3" s="6" t="inlineStr">
        <is>
          <t>Variable_Fijo</t>
        </is>
      </c>
      <c r="Q3" s="6" t="inlineStr">
        <is>
          <t>02. JER. BALANCE</t>
        </is>
      </c>
      <c r="R3" s="157" t="inlineStr">
        <is>
          <t>Notional Today</t>
        </is>
      </c>
      <c r="S3" s="157" t="inlineStr">
        <is>
          <t>Vto medio</t>
        </is>
      </c>
      <c r="T3" s="157" t="inlineStr">
        <is>
          <t>Cupon medio</t>
        </is>
      </c>
      <c r="U3" s="157" t="inlineStr">
        <is>
          <t>Spread medio</t>
        </is>
      </c>
      <c r="V3" s="157" t="inlineStr">
        <is>
          <t>Reprecio medio</t>
        </is>
      </c>
      <c r="W3" s="157" t="inlineStr">
        <is>
          <t>Floor medio</t>
        </is>
      </c>
      <c r="X3" s="157" t="inlineStr">
        <is>
          <t>Dur. Efec. Pond</t>
        </is>
      </c>
      <c r="Y3" s="157" t="inlineStr">
        <is>
          <t>Dur. Mac. Pond</t>
        </is>
      </c>
      <c r="AB3" s="163" t="inlineStr">
        <is>
          <t>01. JER. A&amp;P</t>
        </is>
      </c>
      <c r="AC3" t="inlineStr">
        <is>
          <t>Variable_Fijo</t>
        </is>
      </c>
      <c r="AD3" t="inlineStr">
        <is>
          <t>02. JER. BALANCE</t>
        </is>
      </c>
      <c r="AE3" t="inlineStr">
        <is>
          <t>Notional Today</t>
        </is>
      </c>
      <c r="AF3" t="inlineStr">
        <is>
          <t>Vto medio</t>
        </is>
      </c>
      <c r="AG3" s="50" t="inlineStr">
        <is>
          <t>Cupon medio</t>
        </is>
      </c>
      <c r="AH3" s="164" t="inlineStr">
        <is>
          <t>Spread medio</t>
        </is>
      </c>
      <c r="AI3" s="164" t="inlineStr">
        <is>
          <t>Reprecio medio</t>
        </is>
      </c>
      <c r="AJ3" t="inlineStr">
        <is>
          <t>Floor medio</t>
        </is>
      </c>
      <c r="AK3" s="164" t="inlineStr">
        <is>
          <t>Dur. Efec. Pond</t>
        </is>
      </c>
      <c r="AL3" t="inlineStr">
        <is>
          <t>Dur. Mac. Pond</t>
        </is>
      </c>
      <c r="AM3" s="165" t="n"/>
    </row>
    <row r="4">
      <c r="B4" s="154" t="inlineStr">
        <is>
          <t>Grand Total</t>
        </is>
      </c>
      <c r="E4" s="179" t="n">
        <v>5821576644.975856</v>
      </c>
      <c r="F4" s="179" t="n">
        <v>53.27103149019519</v>
      </c>
      <c r="G4" s="179" t="n">
        <v>0.03588343627269772</v>
      </c>
      <c r="H4" s="179" t="n">
        <v>0.01611993886358211</v>
      </c>
      <c r="I4" s="179" t="n">
        <v>1.712975290771475</v>
      </c>
      <c r="J4" s="179" t="n">
        <v>-0.17805207124962</v>
      </c>
      <c r="K4" s="179" t="n">
        <v>0.01595797895530084</v>
      </c>
      <c r="L4" s="179" t="n">
        <v>2.700947485278355</v>
      </c>
      <c r="O4" s="155" t="inlineStr">
        <is>
          <t>Grand Total</t>
        </is>
      </c>
      <c r="R4" s="180">
        <f>E4</f>
        <v/>
      </c>
      <c r="S4" s="181">
        <f>F4</f>
        <v/>
      </c>
      <c r="T4" s="1">
        <f>G4</f>
        <v/>
      </c>
      <c r="U4" s="1">
        <f>H4</f>
        <v/>
      </c>
      <c r="V4" s="181">
        <f>I4</f>
        <v/>
      </c>
      <c r="W4" s="1">
        <f>J4</f>
        <v/>
      </c>
      <c r="X4" s="1">
        <f>K4</f>
        <v/>
      </c>
      <c r="Y4" s="181">
        <f>L4</f>
        <v/>
      </c>
      <c r="AB4" s="163" t="inlineStr">
        <is>
          <t>Grand Total</t>
        </is>
      </c>
      <c r="AE4" s="53" t="n"/>
      <c r="AG4" s="54" t="n"/>
      <c r="AJ4" s="164" t="n"/>
      <c r="AM4" s="165" t="n"/>
    </row>
    <row r="5">
      <c r="B5" s="154" t="inlineStr">
        <is>
          <t>1. ACTIVO</t>
        </is>
      </c>
      <c r="C5" s="154" t="inlineStr">
        <is>
          <t>Total</t>
        </is>
      </c>
      <c r="E5" s="179" t="n">
        <v>3069441047.7</v>
      </c>
      <c r="F5" s="179" t="n">
        <v>98.64</v>
      </c>
      <c r="G5" s="179" t="n">
        <v>0.0428</v>
      </c>
      <c r="H5" s="179" t="n">
        <v>0.0144</v>
      </c>
      <c r="I5" s="179" t="n">
        <v>2.94</v>
      </c>
      <c r="J5" s="179" t="n">
        <v>-0.297</v>
      </c>
      <c r="K5" s="179" t="n">
        <v>0.0172</v>
      </c>
      <c r="L5" s="179" t="n">
        <v>3.36211944944403</v>
      </c>
      <c r="O5" s="155" t="inlineStr">
        <is>
          <t>1. ACTIVO</t>
        </is>
      </c>
      <c r="P5" s="154" t="inlineStr">
        <is>
          <t>Total</t>
        </is>
      </c>
      <c r="R5" s="180">
        <f>E5</f>
        <v/>
      </c>
      <c r="S5" s="181">
        <f>F5</f>
        <v/>
      </c>
      <c r="T5" s="1">
        <f>G5</f>
        <v/>
      </c>
      <c r="U5" s="1">
        <f>H5</f>
        <v/>
      </c>
      <c r="V5" s="181">
        <f>I5</f>
        <v/>
      </c>
      <c r="W5" s="1">
        <f>J5</f>
        <v/>
      </c>
      <c r="X5" s="1">
        <f>K5</f>
        <v/>
      </c>
      <c r="Y5" s="181">
        <f>L5</f>
        <v/>
      </c>
      <c r="AB5" s="163" t="inlineStr">
        <is>
          <t>1. ACTIVO</t>
        </is>
      </c>
      <c r="AC5" t="inlineStr">
        <is>
          <t>Total</t>
        </is>
      </c>
      <c r="AE5" s="53" t="n"/>
      <c r="AG5" s="54" t="n"/>
      <c r="AJ5" s="164" t="n"/>
      <c r="AM5" s="165" t="n"/>
    </row>
    <row r="6">
      <c r="C6" s="154" t="inlineStr">
        <is>
          <t>Fijo</t>
        </is>
      </c>
      <c r="D6" s="16" t="inlineStr">
        <is>
          <t>Total</t>
        </is>
      </c>
      <c r="E6" s="179" t="n">
        <v>994950789.1822652</v>
      </c>
      <c r="F6" s="179" t="n">
        <v>55.07150956641268</v>
      </c>
      <c r="G6" s="179" t="n">
        <v>0.0182943709197857</v>
      </c>
      <c r="H6" s="179" t="n">
        <v>0.0008984410237753786</v>
      </c>
      <c r="I6" s="179" t="n"/>
      <c r="J6" s="179" t="n">
        <v>-0.8964040233316672</v>
      </c>
      <c r="K6" s="179" t="n">
        <v>0.03602738615383635</v>
      </c>
      <c r="L6" s="179" t="n">
        <v>3.683512458499741</v>
      </c>
      <c r="O6" s="169" t="n"/>
      <c r="P6" s="154" t="inlineStr">
        <is>
          <t>Fijo</t>
        </is>
      </c>
      <c r="Q6" s="154" t="inlineStr">
        <is>
          <t>Total</t>
        </is>
      </c>
      <c r="R6" s="180">
        <f>E6</f>
        <v/>
      </c>
      <c r="S6" s="181">
        <f>F6</f>
        <v/>
      </c>
      <c r="T6" s="1">
        <f>G6</f>
        <v/>
      </c>
      <c r="U6" s="1">
        <f>H6</f>
        <v/>
      </c>
      <c r="V6" s="181">
        <f>I6</f>
        <v/>
      </c>
      <c r="W6" s="1">
        <f>J6</f>
        <v/>
      </c>
      <c r="X6" s="1">
        <f>K6</f>
        <v/>
      </c>
      <c r="Y6" s="181">
        <f>L6</f>
        <v/>
      </c>
      <c r="AB6" s="163" t="n"/>
      <c r="AC6" t="inlineStr">
        <is>
          <t>Fijo</t>
        </is>
      </c>
      <c r="AE6" s="53" t="n"/>
      <c r="AG6" s="54" t="n"/>
      <c r="AH6" s="108" t="n"/>
      <c r="AI6" s="127" t="n"/>
      <c r="AJ6" s="164" t="n"/>
      <c r="AM6" s="165" t="n"/>
    </row>
    <row r="7">
      <c r="D7" s="154" t="inlineStr">
        <is>
          <t>1.1 BANCOS</t>
        </is>
      </c>
      <c r="E7" s="182" t="n">
        <v>28298345.84</v>
      </c>
      <c r="F7" s="182" t="n">
        <v/>
      </c>
      <c r="G7" s="182" t="n">
        <v>0.000498250603046556</v>
      </c>
      <c r="H7" s="182" t="n">
        <v/>
      </c>
      <c r="I7" s="182" t="n">
        <v/>
      </c>
      <c r="J7" s="182" t="n">
        <v>-1</v>
      </c>
      <c r="K7" s="182" t="n">
        <v>0.009898294406289566</v>
      </c>
      <c r="L7" s="182" t="n">
        <v>1.010115537599065</v>
      </c>
      <c r="O7" s="169" t="n"/>
      <c r="Q7" s="154" t="inlineStr">
        <is>
          <t>1.1 BANCOS</t>
        </is>
      </c>
      <c r="R7" s="180">
        <f>E7</f>
        <v/>
      </c>
      <c r="S7" s="181">
        <f>F7</f>
        <v/>
      </c>
      <c r="T7" s="1">
        <f>G7</f>
        <v/>
      </c>
      <c r="U7" s="1">
        <f>H7</f>
        <v/>
      </c>
      <c r="V7" s="181">
        <f>I7</f>
        <v/>
      </c>
      <c r="W7" s="1">
        <f>J7</f>
        <v/>
      </c>
      <c r="X7" s="1">
        <f>K7</f>
        <v/>
      </c>
      <c r="Y7" s="181">
        <f>L7</f>
        <v/>
      </c>
      <c r="AB7" s="163" t="n"/>
      <c r="AD7" t="inlineStr">
        <is>
          <t>1.1 BANCOS</t>
        </is>
      </c>
      <c r="AE7" s="183">
        <f>R7/$AA$1</f>
        <v/>
      </c>
      <c r="AF7" s="53">
        <f>S7</f>
        <v/>
      </c>
      <c r="AG7" s="54">
        <f>T7</f>
        <v/>
      </c>
      <c r="AH7" s="108">
        <f>U7</f>
        <v/>
      </c>
      <c r="AI7" s="127">
        <f>V7</f>
        <v/>
      </c>
      <c r="AJ7" s="164">
        <f>W7</f>
        <v/>
      </c>
      <c r="AK7" s="164">
        <f>X7</f>
        <v/>
      </c>
      <c r="AL7" s="184">
        <f>Y7</f>
        <v/>
      </c>
      <c r="AM7" s="165" t="n"/>
    </row>
    <row r="8">
      <c r="D8" s="154" t="inlineStr">
        <is>
          <t>1.2 CARTERA MAYORISTA</t>
        </is>
      </c>
      <c r="E8" s="182" t="n">
        <v>93530497.56999999</v>
      </c>
      <c r="F8" s="182" t="n">
        <v>0.1956520255292953</v>
      </c>
      <c r="G8" s="182" t="n">
        <v>0.0213</v>
      </c>
      <c r="H8" s="182" t="n">
        <v/>
      </c>
      <c r="I8" s="182" t="n">
        <v/>
      </c>
      <c r="J8" s="182" t="n">
        <v>-1</v>
      </c>
      <c r="K8" s="182" t="n">
        <v>0.0001594704011969116</v>
      </c>
      <c r="L8" s="182" t="n">
        <v>0.01630433546077461</v>
      </c>
      <c r="O8" s="169" t="n"/>
      <c r="Q8" s="154" t="inlineStr">
        <is>
          <t>1.2 CARTERA MAYORISTA</t>
        </is>
      </c>
      <c r="R8" s="180">
        <f>IFERROR(E8,0)</f>
        <v/>
      </c>
      <c r="S8" s="180">
        <f>IFERROR(F8,0)</f>
        <v/>
      </c>
      <c r="T8" s="1">
        <f>G8</f>
        <v/>
      </c>
      <c r="U8" s="180">
        <f>IFERROR(H8,0)</f>
        <v/>
      </c>
      <c r="V8" s="180">
        <f>IFERROR(I8,0)</f>
        <v/>
      </c>
      <c r="W8" s="180">
        <f>IFERROR(J8,0)</f>
        <v/>
      </c>
      <c r="X8" s="180">
        <f>IFERROR(K8,0)</f>
        <v/>
      </c>
      <c r="Y8" s="180">
        <f>IFERROR(L8,0)</f>
        <v/>
      </c>
      <c r="AB8" s="163" t="n"/>
      <c r="AD8" t="inlineStr">
        <is>
          <t>1.2 CARTERA MAYORISTA</t>
        </is>
      </c>
      <c r="AE8" s="183">
        <f>R8/$AA$1</f>
        <v/>
      </c>
      <c r="AF8" s="53">
        <f>S8</f>
        <v/>
      </c>
      <c r="AG8" s="54">
        <f>T8</f>
        <v/>
      </c>
      <c r="AH8" s="108" t="n"/>
      <c r="AI8" s="127">
        <f>V8</f>
        <v/>
      </c>
      <c r="AJ8" s="164">
        <f>W8</f>
        <v/>
      </c>
      <c r="AK8" s="164">
        <f>X8</f>
        <v/>
      </c>
      <c r="AL8" s="184">
        <f>Y8</f>
        <v/>
      </c>
      <c r="AM8" s="165" t="n"/>
    </row>
    <row r="9">
      <c r="D9" s="154" t="inlineStr">
        <is>
          <t>1.3 DEPOSITOS OTRAS EECC</t>
        </is>
      </c>
      <c r="E9" s="182" t="n">
        <v>2546221.5</v>
      </c>
      <c r="F9" s="182" t="n">
        <v>6.625269060579896</v>
      </c>
      <c r="G9" s="182" t="n">
        <v>0.02873448993341702</v>
      </c>
      <c r="H9" s="182" t="n">
        <v/>
      </c>
      <c r="I9" s="182" t="n">
        <v/>
      </c>
      <c r="J9" s="182" t="n">
        <v>-1</v>
      </c>
      <c r="K9" s="182" t="n">
        <v>0.006114676641455005</v>
      </c>
      <c r="L9" s="182" t="n">
        <v>0.5534716236527397</v>
      </c>
      <c r="O9" s="169" t="n"/>
      <c r="Q9" s="154" t="inlineStr">
        <is>
          <t>1.3 DEPOSITOS OTRAS EECC</t>
        </is>
      </c>
      <c r="R9" s="180">
        <f>E9</f>
        <v/>
      </c>
      <c r="S9" s="181">
        <f>F9</f>
        <v/>
      </c>
      <c r="T9" s="1">
        <f>G9</f>
        <v/>
      </c>
      <c r="U9" s="1">
        <f>H9</f>
        <v/>
      </c>
      <c r="V9" s="181">
        <f>I9</f>
        <v/>
      </c>
      <c r="W9" s="1">
        <f>J9</f>
        <v/>
      </c>
      <c r="X9" s="1">
        <f>K9</f>
        <v/>
      </c>
      <c r="Y9" s="181">
        <f>L9</f>
        <v/>
      </c>
      <c r="AB9" s="163" t="n"/>
      <c r="AD9" t="inlineStr">
        <is>
          <t>1.3 DEPOSITOS OTRAS EECC</t>
        </is>
      </c>
      <c r="AE9" s="53">
        <f>R9/$AA$1</f>
        <v/>
      </c>
      <c r="AF9" s="53">
        <f>S9</f>
        <v/>
      </c>
      <c r="AG9" s="54">
        <f>T9</f>
        <v/>
      </c>
      <c r="AH9" s="108">
        <f>U9</f>
        <v/>
      </c>
      <c r="AI9" s="127">
        <f>V9</f>
        <v/>
      </c>
      <c r="AJ9" s="164">
        <f>W9</f>
        <v/>
      </c>
      <c r="AK9" s="164">
        <f>X9</f>
        <v/>
      </c>
      <c r="AL9" s="184">
        <f>Y9</f>
        <v/>
      </c>
      <c r="AM9" s="165" t="n"/>
    </row>
    <row r="10">
      <c r="D10" s="154" t="inlineStr">
        <is>
          <t>1.4 INVERSION CREDITICIA</t>
        </is>
      </c>
      <c r="E10" s="182" t="n">
        <v>154668313.98809</v>
      </c>
      <c r="F10" s="182" t="n">
        <v>6.938602254183076</v>
      </c>
      <c r="G10" s="182" t="n">
        <v>0.05610437838582064</v>
      </c>
      <c r="H10" s="182" t="n">
        <v>0.02939963381366648</v>
      </c>
      <c r="I10" s="182" t="n">
        <v/>
      </c>
      <c r="J10" s="182" t="n">
        <v>0</v>
      </c>
      <c r="K10" s="182" t="n">
        <v>0.004275212741242873</v>
      </c>
      <c r="L10" s="182" t="n">
        <v>0.4303688383160745</v>
      </c>
      <c r="O10" s="169" t="n"/>
      <c r="Q10" s="154" t="inlineStr">
        <is>
          <t>1.4 INVERSION CREDITICIA</t>
        </is>
      </c>
      <c r="R10" s="185">
        <f>+SUM(R35:R40)</f>
        <v/>
      </c>
      <c r="S10" s="56">
        <f>+SUMPRODUCT($R$35:$R$40,S35:S40)/$R$10</f>
        <v/>
      </c>
      <c r="T10" s="31">
        <f>+SUMPRODUCT($R$35:$R$40,T35:T40)/$R$10</f>
        <v/>
      </c>
      <c r="U10" s="31">
        <f>+SUMPRODUCT($R$35:$R$40,U35:U40)/$R$10</f>
        <v/>
      </c>
      <c r="V10" s="56">
        <f>+SUMPRODUCT($R$35:$R$40,V35:V40)/$R$10</f>
        <v/>
      </c>
      <c r="W10" s="31">
        <f>+SUMPRODUCT($R$35:$R$40,W35:W40)/$R$10</f>
        <v/>
      </c>
      <c r="X10" s="1">
        <f>K10</f>
        <v/>
      </c>
      <c r="Y10" s="85">
        <f>L10</f>
        <v/>
      </c>
      <c r="Z10" s="57" t="inlineStr">
        <is>
          <t>FORMULADO</t>
        </is>
      </c>
      <c r="AB10" s="163" t="n"/>
      <c r="AD10" t="inlineStr">
        <is>
          <t>1.4 INVERSION CREDITICIA</t>
        </is>
      </c>
      <c r="AE10" s="53">
        <f>R10/$AA$1</f>
        <v/>
      </c>
      <c r="AF10" s="53">
        <f>S10</f>
        <v/>
      </c>
      <c r="AG10" s="54">
        <f>T10</f>
        <v/>
      </c>
      <c r="AH10" s="108">
        <f>U10</f>
        <v/>
      </c>
      <c r="AI10" s="127">
        <f>V10</f>
        <v/>
      </c>
      <c r="AJ10" s="164">
        <f>W10</f>
        <v/>
      </c>
      <c r="AK10" s="164">
        <f>X10</f>
        <v/>
      </c>
      <c r="AL10" s="184">
        <f>Y10</f>
        <v/>
      </c>
      <c r="AM10" s="165" t="n"/>
    </row>
    <row r="11">
      <c r="D11" s="154" t="inlineStr">
        <is>
          <t>1.5 RENTA FIJA</t>
        </is>
      </c>
      <c r="E11" s="182" t="n">
        <v>1166977973.258</v>
      </c>
      <c r="F11" s="182" t="n">
        <v>52.81872763578807</v>
      </c>
      <c r="G11" s="182" t="n">
        <v>0.01661386408181513</v>
      </c>
      <c r="H11" s="182" t="n">
        <v/>
      </c>
      <c r="I11" s="182" t="n">
        <v/>
      </c>
      <c r="J11" s="182" t="n">
        <v>-1</v>
      </c>
      <c r="K11" s="182" t="n">
        <v>0.03963566320515897</v>
      </c>
      <c r="L11" s="182" t="n">
        <v>4.053622000386599</v>
      </c>
      <c r="O11" s="169" t="n"/>
      <c r="Q11" s="154" t="inlineStr">
        <is>
          <t>1.5 RENTA FIJA</t>
        </is>
      </c>
      <c r="R11" s="182">
        <f>E11</f>
        <v/>
      </c>
      <c r="S11" s="181">
        <f>F11</f>
        <v/>
      </c>
      <c r="T11" s="59" t="n">
        <v>0.01756389800646873</v>
      </c>
      <c r="U11" s="1" t="n"/>
      <c r="V11" s="181" t="n"/>
      <c r="W11" s="1">
        <f>J11</f>
        <v/>
      </c>
      <c r="X11" s="1">
        <f>K11</f>
        <v/>
      </c>
      <c r="Y11" s="181">
        <f>L11</f>
        <v/>
      </c>
      <c r="AB11" s="163" t="n"/>
      <c r="AD11" t="inlineStr">
        <is>
          <t>1.5 RENTA FIJA</t>
        </is>
      </c>
      <c r="AE11" s="60">
        <f>R11/$AA$1</f>
        <v/>
      </c>
      <c r="AF11" s="53">
        <f>S11</f>
        <v/>
      </c>
      <c r="AG11" s="61">
        <f>T11</f>
        <v/>
      </c>
      <c r="AH11" s="108">
        <f>U11</f>
        <v/>
      </c>
      <c r="AI11" s="127">
        <f>V11</f>
        <v/>
      </c>
      <c r="AJ11" s="164">
        <f>W11</f>
        <v/>
      </c>
      <c r="AK11" s="164">
        <f>X11</f>
        <v/>
      </c>
      <c r="AL11" s="184">
        <f>Y11</f>
        <v/>
      </c>
      <c r="AM11" s="165" t="n"/>
    </row>
    <row r="12">
      <c r="D12" s="154" t="inlineStr">
        <is>
          <t>1.6 ACTIVOS DUDOSOS</t>
        </is>
      </c>
      <c r="E12" s="182" t="n">
        <v>20036195.5196095</v>
      </c>
      <c r="F12" s="182" t="n">
        <v/>
      </c>
      <c r="G12" s="182" t="n">
        <v>0.0474</v>
      </c>
      <c r="H12" s="182" t="n">
        <v/>
      </c>
      <c r="I12" s="182" t="n">
        <v/>
      </c>
      <c r="J12" s="182" t="n">
        <v>0</v>
      </c>
      <c r="K12" s="182" t="n">
        <v>0.01770224518834889</v>
      </c>
      <c r="L12" s="182" t="n">
        <v>1.804260758393309</v>
      </c>
      <c r="O12" s="169" t="n"/>
      <c r="Q12" s="154" t="inlineStr">
        <is>
          <t>1.6 ACTIVOS DUDOSOS</t>
        </is>
      </c>
      <c r="R12" s="180">
        <f>E12</f>
        <v/>
      </c>
      <c r="S12" s="181">
        <f>F12</f>
        <v/>
      </c>
      <c r="T12" s="181">
        <f>G12</f>
        <v/>
      </c>
      <c r="U12" s="1" t="n"/>
      <c r="V12" s="181" t="n"/>
      <c r="W12" s="1" t="n">
        <v>0</v>
      </c>
      <c r="X12" s="1">
        <f>K12</f>
        <v/>
      </c>
      <c r="Y12" s="181">
        <f>L12</f>
        <v/>
      </c>
      <c r="AB12" s="163" t="n"/>
      <c r="AD12" t="inlineStr">
        <is>
          <t>1.6 ACTIVOS DUDOSOS</t>
        </is>
      </c>
      <c r="AE12" s="147">
        <f>R12/$AA$1</f>
        <v/>
      </c>
      <c r="AF12" s="60">
        <f>S12</f>
        <v/>
      </c>
      <c r="AG12" s="54">
        <f>T12</f>
        <v/>
      </c>
      <c r="AH12" s="108">
        <f>U12</f>
        <v/>
      </c>
      <c r="AI12" s="127">
        <f>V12</f>
        <v/>
      </c>
      <c r="AJ12" s="164">
        <f>W12</f>
        <v/>
      </c>
      <c r="AK12" s="164">
        <f>X12</f>
        <v/>
      </c>
      <c r="AL12" s="184">
        <f>Y12</f>
        <v/>
      </c>
      <c r="AM12" s="165" t="n"/>
    </row>
    <row r="13">
      <c r="D13" s="154" t="inlineStr">
        <is>
          <t>1.7 ACTIVOS NO SENSIBLE</t>
        </is>
      </c>
      <c r="E13" s="182" t="n">
        <v>56929043.3</v>
      </c>
      <c r="F13" s="182" t="n">
        <v>61.90000000000001</v>
      </c>
      <c r="G13" s="182" t="n">
        <v/>
      </c>
      <c r="H13" s="182" t="n">
        <v/>
      </c>
      <c r="I13" s="182" t="n">
        <v/>
      </c>
      <c r="J13" s="182" t="n">
        <v>0</v>
      </c>
      <c r="K13" s="182" t="n">
        <v>0</v>
      </c>
      <c r="L13" s="182" t="n">
        <v>0</v>
      </c>
      <c r="O13" s="169" t="n"/>
      <c r="Q13" s="154" t="inlineStr">
        <is>
          <t>1.7 ACTIVOS NO SENSIBLE</t>
        </is>
      </c>
      <c r="R13" s="180">
        <f>E13</f>
        <v/>
      </c>
      <c r="S13" s="181">
        <f>F13</f>
        <v/>
      </c>
      <c r="T13" s="1">
        <f>G13</f>
        <v/>
      </c>
      <c r="U13" s="1">
        <f>H13</f>
        <v/>
      </c>
      <c r="V13" s="181">
        <f>I13</f>
        <v/>
      </c>
      <c r="W13" s="1">
        <f>J13</f>
        <v/>
      </c>
      <c r="X13" s="1">
        <f>K13</f>
        <v/>
      </c>
      <c r="Y13" s="181">
        <f>L13</f>
        <v/>
      </c>
      <c r="AB13" s="163" t="n"/>
      <c r="AD13" t="inlineStr">
        <is>
          <t>1.7 ACTIVOS NO SENSIBLE</t>
        </is>
      </c>
      <c r="AE13" s="147">
        <f>R13/$AA$1</f>
        <v/>
      </c>
      <c r="AF13" s="53">
        <f>S13</f>
        <v/>
      </c>
      <c r="AG13" s="54">
        <f>T13</f>
        <v/>
      </c>
      <c r="AH13" s="108">
        <f>U13</f>
        <v/>
      </c>
      <c r="AI13" s="127">
        <f>V13</f>
        <v/>
      </c>
      <c r="AJ13" s="164">
        <f>W13</f>
        <v/>
      </c>
      <c r="AK13" s="164">
        <f>X13</f>
        <v/>
      </c>
      <c r="AL13" s="184">
        <f>Y13</f>
        <v/>
      </c>
      <c r="AM13" s="165" t="n"/>
    </row>
    <row r="14">
      <c r="C14" s="154" t="inlineStr">
        <is>
          <t>Variable</t>
        </is>
      </c>
      <c r="D14" s="16" t="inlineStr">
        <is>
          <t>Total</t>
        </is>
      </c>
      <c r="E14" s="179" t="n">
        <v>2049899761.368862</v>
      </c>
      <c r="F14" s="179" t="n">
        <v>117.6458999130894</v>
      </c>
      <c r="G14" s="179" t="n">
        <v>0.05569722656778008</v>
      </c>
      <c r="H14" s="179" t="n">
        <v>0.02031509599529046</v>
      </c>
      <c r="I14" s="179" t="n">
        <v>4.592362900006535</v>
      </c>
      <c r="J14" s="179" t="n">
        <v>-0.04183022807374004</v>
      </c>
      <c r="K14" s="179" t="n">
        <v>0.008582207361611534</v>
      </c>
      <c r="L14" s="179" t="n">
        <v>3.218544488024194</v>
      </c>
      <c r="O14" s="169" t="n"/>
      <c r="P14" s="154" t="inlineStr">
        <is>
          <t>Variable</t>
        </is>
      </c>
      <c r="Q14" s="154" t="inlineStr">
        <is>
          <t>Total</t>
        </is>
      </c>
      <c r="R14" s="180">
        <f>E14</f>
        <v/>
      </c>
      <c r="S14" s="181">
        <f>F14</f>
        <v/>
      </c>
      <c r="T14" s="1">
        <f>G14</f>
        <v/>
      </c>
      <c r="U14" s="1">
        <f>H14</f>
        <v/>
      </c>
      <c r="V14" s="181">
        <f>I14</f>
        <v/>
      </c>
      <c r="W14" s="1">
        <f>J14</f>
        <v/>
      </c>
      <c r="X14" s="1">
        <f>K14</f>
        <v/>
      </c>
      <c r="Y14" s="181">
        <f>L14</f>
        <v/>
      </c>
      <c r="AB14" s="163" t="n"/>
      <c r="AC14" t="inlineStr">
        <is>
          <t>Variable</t>
        </is>
      </c>
      <c r="AD14" t="inlineStr">
        <is>
          <t>Total</t>
        </is>
      </c>
      <c r="AE14" s="53" t="n"/>
      <c r="AG14" s="54" t="n"/>
      <c r="AH14" s="108" t="n"/>
      <c r="AJ14" s="164" t="n"/>
      <c r="AL14" s="184" t="n"/>
      <c r="AM14" s="165" t="n"/>
    </row>
    <row r="15">
      <c r="D15" s="154" t="inlineStr">
        <is>
          <t>1.1 BANCOS</t>
        </is>
      </c>
      <c r="E15" s="182" t="n">
        <v>102489197.14</v>
      </c>
      <c r="F15" s="182" t="n">
        <v/>
      </c>
      <c r="G15" s="182" t="n">
        <v>0.02156</v>
      </c>
      <c r="H15" s="182" t="n">
        <v>-0.004818522328020648</v>
      </c>
      <c r="I15" s="182" t="n">
        <v/>
      </c>
      <c r="J15" s="182" t="n">
        <v>-1</v>
      </c>
      <c r="K15" s="182" t="n">
        <v>3.799253117445465e-05</v>
      </c>
      <c r="L15" s="182" t="n">
        <v>0.08596339456740863</v>
      </c>
      <c r="O15" s="169" t="n"/>
      <c r="Q15" s="154" t="inlineStr">
        <is>
          <t>1.1 BANCOS</t>
        </is>
      </c>
      <c r="R15" s="180">
        <f>E15</f>
        <v/>
      </c>
      <c r="S15" s="181">
        <f>F15</f>
        <v/>
      </c>
      <c r="T15" s="1">
        <f>G15</f>
        <v/>
      </c>
      <c r="U15" s="1">
        <f>H15</f>
        <v/>
      </c>
      <c r="V15" s="181">
        <f>I15</f>
        <v/>
      </c>
      <c r="W15" s="1">
        <f>J15</f>
        <v/>
      </c>
      <c r="X15" s="1">
        <f>K15</f>
        <v/>
      </c>
      <c r="Y15" s="181">
        <f>L15</f>
        <v/>
      </c>
      <c r="AB15" s="163" t="n"/>
      <c r="AD15" t="inlineStr">
        <is>
          <t>1.1 BANCOS</t>
        </is>
      </c>
      <c r="AE15" s="53">
        <f>R15/$AA$1</f>
        <v/>
      </c>
      <c r="AF15" s="131">
        <f>S15</f>
        <v/>
      </c>
      <c r="AG15" s="54">
        <f>T15</f>
        <v/>
      </c>
      <c r="AH15" s="108">
        <f>U15</f>
        <v/>
      </c>
      <c r="AI15" s="72">
        <f>V15</f>
        <v/>
      </c>
      <c r="AJ15" s="164">
        <f>W15</f>
        <v/>
      </c>
      <c r="AK15" s="164">
        <f>X15</f>
        <v/>
      </c>
      <c r="AL15" s="184">
        <f>Y15</f>
        <v/>
      </c>
      <c r="AM15" s="165" t="n"/>
    </row>
    <row r="16">
      <c r="D16" s="154" t="inlineStr">
        <is>
          <t>1.4 INVERSION CREDITICIA</t>
        </is>
      </c>
      <c r="E16" s="182" t="n">
        <v>2058659585.505211</v>
      </c>
      <c r="F16" s="182" t="n">
        <v>127.0762263149539</v>
      </c>
      <c r="G16" s="182" t="n">
        <v>0.0468851870110262</v>
      </c>
      <c r="H16" s="182" t="n">
        <v>0.02115634809894883</v>
      </c>
      <c r="I16" s="182" t="n">
        <v>121.8634602427894</v>
      </c>
      <c r="J16" s="182" t="n">
        <v>0.01989021772990241</v>
      </c>
      <c r="K16" s="182" t="n">
        <v>0.008338727763179149</v>
      </c>
      <c r="L16" s="182" t="n">
        <v>3.406535480423619</v>
      </c>
      <c r="O16" s="169" t="n"/>
      <c r="Q16" s="154" t="inlineStr">
        <is>
          <t>1.4 INVERSION CREDITICIA</t>
        </is>
      </c>
      <c r="R16" s="185">
        <f>+SUM(R42:R44)</f>
        <v/>
      </c>
      <c r="S16" s="56">
        <f>+SUMPRODUCT($R$42:$R$44,S42:S44)/$R$16</f>
        <v/>
      </c>
      <c r="T16" s="31">
        <f>+SUMPRODUCT($R$42:$R$44,T42:T44)/$R$16</f>
        <v/>
      </c>
      <c r="U16" s="31">
        <f>+SUMPRODUCT($R$42:$R$44,U42:U44)/$R$16</f>
        <v/>
      </c>
      <c r="V16" s="56">
        <f>+SUMPRODUCT($R$42:$R$44,V42:V44)/$R$16</f>
        <v/>
      </c>
      <c r="W16" s="31">
        <f>+SUMPRODUCT($R$42:$R$44,W42:W44)/$R$16</f>
        <v/>
      </c>
      <c r="X16" s="1">
        <f>K16</f>
        <v/>
      </c>
      <c r="Y16" s="181">
        <f>L16</f>
        <v/>
      </c>
      <c r="Z16" s="57" t="inlineStr">
        <is>
          <t>FORMULADO</t>
        </is>
      </c>
      <c r="AB16" s="163" t="n"/>
      <c r="AD16" t="inlineStr">
        <is>
          <t>1.4 INVERSION CREDITICIA</t>
        </is>
      </c>
      <c r="AE16" s="53">
        <f>R16/$AA$1</f>
        <v/>
      </c>
      <c r="AF16" s="53">
        <f>S16</f>
        <v/>
      </c>
      <c r="AG16" s="54">
        <f>T16</f>
        <v/>
      </c>
      <c r="AH16" s="108">
        <f>U16</f>
        <v/>
      </c>
      <c r="AI16" s="72">
        <f>V16</f>
        <v/>
      </c>
      <c r="AJ16" s="164">
        <f>W16</f>
        <v/>
      </c>
      <c r="AK16" s="164">
        <f>X16</f>
        <v/>
      </c>
      <c r="AL16" s="184">
        <f>Y16</f>
        <v/>
      </c>
      <c r="AM16" s="165" t="n"/>
    </row>
    <row r="17">
      <c r="D17" s="154" t="inlineStr">
        <is>
          <t>1.5 RENTA FIJA</t>
        </is>
      </c>
      <c r="E17" s="182" t="n"/>
      <c r="F17" s="182" t="n"/>
      <c r="G17" s="182" t="n"/>
      <c r="H17" s="182" t="n"/>
      <c r="I17" s="182" t="n"/>
      <c r="J17" s="182" t="n"/>
      <c r="K17" s="182" t="n"/>
      <c r="L17" s="182" t="n"/>
      <c r="O17" s="169" t="n"/>
      <c r="Q17" s="154" t="inlineStr">
        <is>
          <t>1.5 RENTA FIJA</t>
        </is>
      </c>
      <c r="R17" s="185">
        <f>E17</f>
        <v/>
      </c>
      <c r="S17" s="185">
        <f>F17</f>
        <v/>
      </c>
      <c r="T17" s="185">
        <f>G17</f>
        <v/>
      </c>
      <c r="U17" s="185">
        <f>H17</f>
        <v/>
      </c>
      <c r="V17" s="185">
        <f>I17</f>
        <v/>
      </c>
      <c r="W17" s="185">
        <f>J17</f>
        <v/>
      </c>
      <c r="X17" s="185">
        <f>K17</f>
        <v/>
      </c>
      <c r="Y17" s="185">
        <f>L17</f>
        <v/>
      </c>
      <c r="Z17" s="57" t="n"/>
      <c r="AB17" s="163" t="n"/>
      <c r="AD17" t="inlineStr">
        <is>
          <t>1.5 RENTA FIJA</t>
        </is>
      </c>
      <c r="AE17" s="53">
        <f>R17/$AA$1</f>
        <v/>
      </c>
      <c r="AF17" s="53" t="n"/>
      <c r="AG17" s="54">
        <f>T17</f>
        <v/>
      </c>
      <c r="AH17" s="108">
        <f>U17</f>
        <v/>
      </c>
      <c r="AI17" s="72">
        <f>V17</f>
        <v/>
      </c>
      <c r="AJ17" s="164" t="n"/>
      <c r="AL17" s="184" t="n"/>
      <c r="AM17" s="165" t="n"/>
    </row>
    <row r="18">
      <c r="D18" s="154" t="inlineStr">
        <is>
          <t>1.6 ACTIVOS DUDOSOS</t>
        </is>
      </c>
      <c r="E18" s="179" t="n">
        <v>2539339758.624739</v>
      </c>
      <c r="F18" s="179" t="n">
        <v>5.047386412863383</v>
      </c>
      <c r="G18" s="179" t="n">
        <v>0.02883928084306066</v>
      </c>
      <c r="H18" s="179" t="n">
        <v>0.02206243139617455</v>
      </c>
      <c r="I18" s="179" t="n"/>
      <c r="J18" s="179" t="n">
        <v>0</v>
      </c>
      <c r="K18" s="179" t="n">
        <v>0.004080813760458639</v>
      </c>
      <c r="L18" s="179" t="n">
        <v>0.4177376058757564</v>
      </c>
      <c r="O18" s="169" t="n"/>
      <c r="Q18" s="154" t="inlineStr">
        <is>
          <t>1.6 ACTIVOS DUDOSOS</t>
        </is>
      </c>
      <c r="R18" s="182">
        <f>E18</f>
        <v/>
      </c>
      <c r="S18" s="182">
        <f>F18</f>
        <v/>
      </c>
      <c r="T18" s="182">
        <f>G18</f>
        <v/>
      </c>
      <c r="U18" s="182">
        <f>H18</f>
        <v/>
      </c>
      <c r="V18" s="182">
        <f>I18</f>
        <v/>
      </c>
      <c r="W18" s="182">
        <f>J18</f>
        <v/>
      </c>
      <c r="X18" s="182">
        <f>K18</f>
        <v/>
      </c>
      <c r="Y18" s="182">
        <f>L18</f>
        <v/>
      </c>
      <c r="Z18" s="57" t="n"/>
      <c r="AB18" s="163" t="n"/>
      <c r="AD18" t="inlineStr">
        <is>
          <t>1.6 ACTIVOS DUDOSOS</t>
        </is>
      </c>
      <c r="AE18" s="53">
        <f>R18/$AA$1</f>
        <v/>
      </c>
      <c r="AF18" s="53">
        <f>S18</f>
        <v/>
      </c>
      <c r="AG18" s="54">
        <f>T18</f>
        <v/>
      </c>
      <c r="AH18" s="108">
        <f>U18</f>
        <v/>
      </c>
      <c r="AI18" s="72">
        <f>V18</f>
        <v/>
      </c>
      <c r="AJ18" s="164">
        <f>W18</f>
        <v/>
      </c>
      <c r="AK18" s="164">
        <f>X18</f>
        <v/>
      </c>
      <c r="AL18" s="184">
        <f>Y18</f>
        <v/>
      </c>
      <c r="AM18" s="165" t="n"/>
    </row>
    <row r="19">
      <c r="B19" s="154" t="inlineStr">
        <is>
          <t>2. PASIVO</t>
        </is>
      </c>
      <c r="C19" s="154" t="inlineStr">
        <is>
          <t>Total</t>
        </is>
      </c>
      <c r="E19" s="179" t="n">
        <v>2776364221.290629</v>
      </c>
      <c r="F19" s="179" t="n">
        <v>5.101529372920936</v>
      </c>
      <c r="G19" s="179" t="n">
        <v>0.02814380177967414</v>
      </c>
      <c r="H19" s="179" t="n">
        <v>0.01826782818304753</v>
      </c>
      <c r="I19" s="179" t="n"/>
      <c r="J19" s="179" t="n">
        <v>-0.02122132036502443</v>
      </c>
      <c r="K19" s="179" t="n">
        <v>0.01084662448300098</v>
      </c>
      <c r="L19" s="179" t="n">
        <v>1.112567304770546</v>
      </c>
      <c r="O19" s="155" t="inlineStr">
        <is>
          <t>2. PASIVO</t>
        </is>
      </c>
      <c r="P19" s="154" t="inlineStr">
        <is>
          <t>Total</t>
        </is>
      </c>
      <c r="R19" s="180">
        <f>E19</f>
        <v/>
      </c>
      <c r="S19" s="181">
        <f>F19</f>
        <v/>
      </c>
      <c r="T19" s="1">
        <f>G19</f>
        <v/>
      </c>
      <c r="U19" s="1">
        <f>H19</f>
        <v/>
      </c>
      <c r="V19" s="181">
        <f>I19</f>
        <v/>
      </c>
      <c r="W19" s="1">
        <f>J19</f>
        <v/>
      </c>
      <c r="X19" s="1">
        <f>K19</f>
        <v/>
      </c>
      <c r="Y19" s="181">
        <f>L19</f>
        <v/>
      </c>
      <c r="AB19" s="163" t="inlineStr">
        <is>
          <t>2. PASIVO</t>
        </is>
      </c>
      <c r="AC19" t="inlineStr">
        <is>
          <t>Total</t>
        </is>
      </c>
      <c r="AE19" s="53" t="n"/>
      <c r="AF19" s="53" t="n"/>
      <c r="AG19" s="54" t="n"/>
      <c r="AH19" s="108" t="n"/>
      <c r="AI19" s="72" t="n"/>
      <c r="AJ19" s="164" t="n"/>
      <c r="AL19" s="184" t="n"/>
      <c r="AM19" s="165" t="n"/>
    </row>
    <row r="20">
      <c r="C20" s="154" t="inlineStr">
        <is>
          <t>Fijo</t>
        </is>
      </c>
      <c r="D20" s="16" t="inlineStr">
        <is>
          <t>Total</t>
        </is>
      </c>
      <c r="E20" s="179" t="n">
        <v>2776364221.290629</v>
      </c>
      <c r="F20" s="179" t="n">
        <v>5.101529372920936</v>
      </c>
      <c r="G20" s="179" t="n">
        <v>0.02814380177967414</v>
      </c>
      <c r="H20" s="179" t="n">
        <v>0.01826782818304753</v>
      </c>
      <c r="I20" s="179" t="n"/>
      <c r="J20" s="179" t="n">
        <v>-0.02122132036502443</v>
      </c>
      <c r="K20" s="179" t="n">
        <v>0.01084662448300098</v>
      </c>
      <c r="L20" s="179" t="n">
        <v>1.112567304770546</v>
      </c>
      <c r="O20" s="169" t="n"/>
      <c r="P20" s="154" t="inlineStr">
        <is>
          <t>Fijo</t>
        </is>
      </c>
      <c r="Q20" s="154" t="inlineStr">
        <is>
          <t>Total</t>
        </is>
      </c>
      <c r="R20" s="180">
        <f>E20</f>
        <v/>
      </c>
      <c r="S20" s="181">
        <f>F20</f>
        <v/>
      </c>
      <c r="T20" s="1">
        <f>G20</f>
        <v/>
      </c>
      <c r="U20" s="1">
        <f>H20</f>
        <v/>
      </c>
      <c r="V20" s="181">
        <f>I20</f>
        <v/>
      </c>
      <c r="W20" s="1">
        <f>J20</f>
        <v/>
      </c>
      <c r="X20" s="1">
        <f>K20</f>
        <v/>
      </c>
      <c r="Y20" s="181">
        <f>L20</f>
        <v/>
      </c>
      <c r="AB20" s="163" t="n"/>
      <c r="AC20" t="inlineStr">
        <is>
          <t>Fijo</t>
        </is>
      </c>
      <c r="AD20" t="inlineStr">
        <is>
          <t>Total</t>
        </is>
      </c>
      <c r="AE20" s="53" t="n"/>
      <c r="AF20" s="53" t="n"/>
      <c r="AG20" s="54" t="n"/>
      <c r="AH20" s="108" t="n"/>
      <c r="AJ20" s="164" t="n"/>
      <c r="AL20" s="184" t="n"/>
      <c r="AM20" s="165" t="n"/>
    </row>
    <row r="21">
      <c r="D21" s="154" t="inlineStr">
        <is>
          <t>2.1 DEPOSITOS OTRAS EECC</t>
        </is>
      </c>
      <c r="E21" s="182" t="n">
        <v>1264881.94</v>
      </c>
      <c r="F21" s="182" t="n">
        <v/>
      </c>
      <c r="G21" s="182" t="n">
        <v>0</v>
      </c>
      <c r="H21" s="182" t="n">
        <v/>
      </c>
      <c r="I21" s="182" t="n">
        <v/>
      </c>
      <c r="J21" s="182" t="n">
        <v>-1</v>
      </c>
      <c r="K21" s="182" t="n">
        <v>0.0008423683477107042</v>
      </c>
      <c r="L21" s="182" t="n">
        <v>0.08610884477410979</v>
      </c>
      <c r="O21" s="169" t="n"/>
      <c r="Q21" s="154" t="inlineStr">
        <is>
          <t>2.1 DEPOSITOS OTRAS EECC</t>
        </is>
      </c>
      <c r="R21" s="180">
        <f>E21</f>
        <v/>
      </c>
      <c r="S21" s="181">
        <f>F21</f>
        <v/>
      </c>
      <c r="T21" s="1">
        <f>G21</f>
        <v/>
      </c>
      <c r="U21" s="1">
        <f>H21</f>
        <v/>
      </c>
      <c r="V21" s="181">
        <f>I21</f>
        <v/>
      </c>
      <c r="W21" s="1">
        <f>J21</f>
        <v/>
      </c>
      <c r="X21" s="1">
        <f>K21</f>
        <v/>
      </c>
      <c r="Y21" s="181">
        <f>L21</f>
        <v/>
      </c>
      <c r="AB21" s="163" t="n"/>
      <c r="AD21" t="inlineStr">
        <is>
          <t>2.1 DEPOSITOS OTRAS EECC</t>
        </is>
      </c>
      <c r="AE21" s="53">
        <f>R21/$AA$1</f>
        <v/>
      </c>
      <c r="AF21" s="53">
        <f>S21</f>
        <v/>
      </c>
      <c r="AG21" s="54">
        <f>T21</f>
        <v/>
      </c>
      <c r="AH21" s="108">
        <f>U21</f>
        <v/>
      </c>
      <c r="AI21" s="164">
        <f>V21</f>
        <v/>
      </c>
      <c r="AJ21" s="164">
        <f>W21</f>
        <v/>
      </c>
      <c r="AK21" s="164">
        <f>X21</f>
        <v/>
      </c>
      <c r="AL21" s="184">
        <f>Y21</f>
        <v/>
      </c>
      <c r="AM21" s="165" t="n"/>
    </row>
    <row r="22">
      <c r="D22" s="154" t="inlineStr">
        <is>
          <t>2.2 DEPOSITOS A PLAZO DE CLIENTES</t>
        </is>
      </c>
      <c r="E22" s="182" t="n">
        <v>2538771697.761155</v>
      </c>
      <c r="F22" s="182" t="n">
        <v>4.796541224478689</v>
      </c>
      <c r="G22" s="182" t="n">
        <v>0.02838140550086036</v>
      </c>
      <c r="H22" s="182" t="n">
        <v>0.02215875658090981</v>
      </c>
      <c r="I22" s="182" t="n">
        <v/>
      </c>
      <c r="J22" s="182" t="n">
        <v>0</v>
      </c>
      <c r="K22" s="182" t="n">
        <v>0.003887928665742238</v>
      </c>
      <c r="L22" s="182" t="n">
        <v>0.397136301479499</v>
      </c>
      <c r="O22" s="169" t="n"/>
      <c r="Q22" s="154" t="inlineStr">
        <is>
          <t>2.2 DEPOSITOS A PLAZO DE CLIENTES</t>
        </is>
      </c>
      <c r="R22" s="180">
        <f>E22</f>
        <v/>
      </c>
      <c r="S22" s="181">
        <f>F22</f>
        <v/>
      </c>
      <c r="T22" s="1">
        <f>G22</f>
        <v/>
      </c>
      <c r="U22" s="1">
        <f>H22</f>
        <v/>
      </c>
      <c r="V22" s="181">
        <f>I22</f>
        <v/>
      </c>
      <c r="W22" s="1">
        <f>J22</f>
        <v/>
      </c>
      <c r="X22" s="1">
        <f>K22</f>
        <v/>
      </c>
      <c r="Y22" s="181">
        <f>L22</f>
        <v/>
      </c>
      <c r="AB22" s="163" t="n"/>
      <c r="AD22" t="inlineStr">
        <is>
          <t>2.2 DEPOSITOS A PLAZO DE CLIENTES</t>
        </is>
      </c>
      <c r="AE22" s="53">
        <f>R22/$AA$1</f>
        <v/>
      </c>
      <c r="AF22" s="53">
        <f>S22</f>
        <v/>
      </c>
      <c r="AG22" s="54">
        <f>T22</f>
        <v/>
      </c>
      <c r="AH22" s="108">
        <f>U22</f>
        <v/>
      </c>
      <c r="AI22" s="164">
        <f>V22</f>
        <v/>
      </c>
      <c r="AJ22" s="164">
        <f>W22</f>
        <v/>
      </c>
      <c r="AK22" s="164">
        <f>X22</f>
        <v/>
      </c>
      <c r="AL22" s="184">
        <f>Y22</f>
        <v/>
      </c>
      <c r="AM22" s="165" t="n"/>
    </row>
    <row r="23">
      <c r="D23" s="154" t="inlineStr">
        <is>
          <t>2.3 DEPOSITOS A LA VISTA DE CLIENTES</t>
        </is>
      </c>
      <c r="E23" s="182" t="n">
        <v>106969127.4400083</v>
      </c>
      <c r="F23" s="182" t="n">
        <v/>
      </c>
      <c r="G23" s="182" t="n">
        <v>1.071277555893571e-05</v>
      </c>
      <c r="H23" s="182" t="n">
        <v>9.889567441720898e-06</v>
      </c>
      <c r="I23" s="182" t="n">
        <v/>
      </c>
      <c r="J23" s="182" t="n">
        <v>0</v>
      </c>
      <c r="K23" s="182" t="n">
        <v>0.02665330067501823</v>
      </c>
      <c r="L23" s="182" t="n">
        <v>2.751293644214151</v>
      </c>
      <c r="O23" s="169" t="n"/>
      <c r="Q23" s="154" t="inlineStr">
        <is>
          <t>2.3 DEPOSITOS A LA VISTA DE CLIENTES</t>
        </is>
      </c>
      <c r="R23" s="180">
        <f>E23</f>
        <v/>
      </c>
      <c r="S23" s="181">
        <f>F23</f>
        <v/>
      </c>
      <c r="T23" s="1">
        <f>G23</f>
        <v/>
      </c>
      <c r="U23" s="1">
        <f>H23</f>
        <v/>
      </c>
      <c r="V23" s="181">
        <f>I23</f>
        <v/>
      </c>
      <c r="W23" s="1">
        <f>J23</f>
        <v/>
      </c>
      <c r="X23" s="1">
        <f>K23</f>
        <v/>
      </c>
      <c r="Y23" s="181">
        <f>L23</f>
        <v/>
      </c>
      <c r="AB23" s="163" t="n"/>
      <c r="AD23" t="inlineStr">
        <is>
          <t>2.3 DEPOSITOS A LA VISTA DE CLIENTES</t>
        </is>
      </c>
      <c r="AE23" s="53">
        <f>R23/$AA$1</f>
        <v/>
      </c>
      <c r="AF23" s="60">
        <f>S23</f>
        <v/>
      </c>
      <c r="AG23" s="54">
        <f>T23</f>
        <v/>
      </c>
      <c r="AH23" s="108">
        <f>U23</f>
        <v/>
      </c>
      <c r="AI23" s="164">
        <f>V23</f>
        <v/>
      </c>
      <c r="AJ23" s="164">
        <f>W23</f>
        <v/>
      </c>
      <c r="AK23" s="164">
        <f>X23</f>
        <v/>
      </c>
      <c r="AL23" s="184">
        <f>Y23</f>
        <v/>
      </c>
      <c r="AM23" s="165" t="n"/>
    </row>
    <row r="24">
      <c r="D24" s="154" t="inlineStr">
        <is>
          <t>2.4 PASIVOS NO SENSIBLES</t>
        </is>
      </c>
      <c r="E24" s="182" t="n">
        <v>24992309.41</v>
      </c>
      <c r="F24" s="182" t="n">
        <v>61.9</v>
      </c>
      <c r="G24" s="182" t="n">
        <v/>
      </c>
      <c r="H24" s="182" t="n">
        <v/>
      </c>
      <c r="I24" s="182" t="n">
        <v/>
      </c>
      <c r="J24" s="182" t="n">
        <v>0</v>
      </c>
      <c r="K24" s="182" t="n">
        <v>0</v>
      </c>
      <c r="L24" s="182" t="n">
        <v>0</v>
      </c>
      <c r="O24" s="169" t="n"/>
      <c r="Q24" s="154" t="inlineStr">
        <is>
          <t>2.5 CARTERA MAYORISTA</t>
        </is>
      </c>
      <c r="R24" s="180">
        <f>E25</f>
        <v/>
      </c>
      <c r="S24" s="181">
        <f>F25</f>
        <v/>
      </c>
      <c r="T24" s="1">
        <f>G25</f>
        <v/>
      </c>
      <c r="U24" s="1">
        <f>H25</f>
        <v/>
      </c>
      <c r="V24" s="181">
        <f>I25</f>
        <v/>
      </c>
      <c r="W24" s="1">
        <f>J25</f>
        <v/>
      </c>
      <c r="X24" s="1">
        <f>K25</f>
        <v/>
      </c>
      <c r="Y24" s="181">
        <f>L25</f>
        <v/>
      </c>
      <c r="AB24" s="163" t="n"/>
      <c r="AD24" t="inlineStr">
        <is>
          <t>2.5 CARTERA MAYORISTA</t>
        </is>
      </c>
      <c r="AE24" s="53">
        <f>R24/1000000</f>
        <v/>
      </c>
      <c r="AF24" s="60">
        <f>S24</f>
        <v/>
      </c>
      <c r="AG24" s="54">
        <f>T24</f>
        <v/>
      </c>
      <c r="AH24" s="108">
        <f>U24</f>
        <v/>
      </c>
      <c r="AI24" s="164">
        <f>V24</f>
        <v/>
      </c>
      <c r="AJ24" s="164">
        <f>W24</f>
        <v/>
      </c>
      <c r="AK24" s="164">
        <f>X24</f>
        <v/>
      </c>
      <c r="AL24" s="184">
        <f>Y24</f>
        <v/>
      </c>
      <c r="AM24" s="165" t="n"/>
    </row>
    <row r="25">
      <c r="D25" s="154" t="inlineStr">
        <is>
          <t>2.5 CARTERA MAYORISTA</t>
        </is>
      </c>
      <c r="E25" s="182" t="n">
        <v>71866363.34</v>
      </c>
      <c r="F25" s="182" t="n">
        <v>69.17639499964713</v>
      </c>
      <c r="G25" s="182" t="n">
        <v>0.0467344137100454</v>
      </c>
      <c r="H25" s="182" t="n">
        <v/>
      </c>
      <c r="I25" s="182" t="n">
        <v/>
      </c>
      <c r="J25" s="182" t="n">
        <v>-1</v>
      </c>
      <c r="K25" s="182" t="n">
        <v>0.04204492773760662</v>
      </c>
      <c r="L25" s="182" t="n">
        <v>4.319595514812998</v>
      </c>
      <c r="O25" s="169" t="n"/>
      <c r="Q25" s="154" t="inlineStr">
        <is>
          <t>2.4 PASIVOS NO SENSIBLES</t>
        </is>
      </c>
      <c r="R25" s="180">
        <f>E24</f>
        <v/>
      </c>
      <c r="S25" s="181">
        <f>F24</f>
        <v/>
      </c>
      <c r="T25" s="1">
        <f>G24</f>
        <v/>
      </c>
      <c r="U25" s="1">
        <f>H24</f>
        <v/>
      </c>
      <c r="V25" s="181">
        <f>I24</f>
        <v/>
      </c>
      <c r="W25" s="1">
        <f>J24</f>
        <v/>
      </c>
      <c r="X25" s="1">
        <f>K24</f>
        <v/>
      </c>
      <c r="Y25" s="181">
        <f>L24</f>
        <v/>
      </c>
      <c r="AB25" s="163" t="n"/>
      <c r="AD25" t="inlineStr">
        <is>
          <t>2.4 PASIVOS NO SENSIBLES</t>
        </is>
      </c>
      <c r="AE25" s="62">
        <f>R25/$AA$1</f>
        <v/>
      </c>
      <c r="AF25" s="53">
        <f>S25</f>
        <v/>
      </c>
      <c r="AG25" s="54">
        <f>T25</f>
        <v/>
      </c>
      <c r="AH25" s="108">
        <f>U25</f>
        <v/>
      </c>
      <c r="AI25" s="164">
        <f>V25</f>
        <v/>
      </c>
      <c r="AJ25" s="164">
        <f>W25</f>
        <v/>
      </c>
      <c r="AK25" s="164">
        <f>X25</f>
        <v/>
      </c>
      <c r="AL25" s="184">
        <f>Y25</f>
        <v/>
      </c>
      <c r="AM25" s="165" t="n"/>
    </row>
    <row r="26">
      <c r="C26" s="154" t="inlineStr">
        <is>
          <t>Variable</t>
        </is>
      </c>
      <c r="D26" s="16" t="inlineStr">
        <is>
          <t>Total</t>
        </is>
      </c>
      <c r="E26" s="179" t="n"/>
      <c r="F26" s="137" t="n"/>
      <c r="G26" s="138" t="n"/>
      <c r="H26" s="138" t="n"/>
      <c r="I26" s="137" t="n"/>
      <c r="J26" s="138" t="n"/>
      <c r="K26" s="138" t="n"/>
      <c r="L26" s="137" t="n"/>
      <c r="O26" s="169" t="n"/>
      <c r="P26" s="154" t="inlineStr">
        <is>
          <t>Variable</t>
        </is>
      </c>
      <c r="Q26" s="154" t="inlineStr">
        <is>
          <t>Total</t>
        </is>
      </c>
      <c r="R26" s="180">
        <f>E26</f>
        <v/>
      </c>
      <c r="S26" s="181">
        <f>F26</f>
        <v/>
      </c>
      <c r="T26" s="1">
        <f>G26</f>
        <v/>
      </c>
      <c r="U26" s="1">
        <f>H26</f>
        <v/>
      </c>
      <c r="V26" s="181">
        <f>I26</f>
        <v/>
      </c>
      <c r="W26" s="1">
        <f>J26</f>
        <v/>
      </c>
      <c r="X26" s="1">
        <f>K26</f>
        <v/>
      </c>
      <c r="Y26" s="181">
        <f>L26</f>
        <v/>
      </c>
      <c r="AB26" s="163" t="n"/>
      <c r="AC26" t="inlineStr">
        <is>
          <t>Variable</t>
        </is>
      </c>
      <c r="AD26" t="inlineStr">
        <is>
          <t>Total</t>
        </is>
      </c>
      <c r="AE26" s="53" t="n"/>
      <c r="AF26" s="53" t="n"/>
      <c r="AG26" s="54" t="n"/>
      <c r="AH26" s="108" t="n"/>
      <c r="AJ26" s="164" t="n"/>
      <c r="AL26" s="184" t="n"/>
      <c r="AM26" s="165" t="n"/>
    </row>
    <row r="27">
      <c r="D27" s="154" t="inlineStr">
        <is>
          <t>2.3 DEPOSITOS A LA VISTA DE CLIENTES</t>
        </is>
      </c>
      <c r="E27" s="180" t="n"/>
      <c r="F27" s="2" t="n"/>
      <c r="G27" s="1" t="n"/>
      <c r="H27" s="1" t="n"/>
      <c r="I27" s="2" t="n"/>
      <c r="J27" s="1" t="n"/>
      <c r="K27" s="1" t="n"/>
      <c r="L27" s="2" t="n"/>
      <c r="O27" s="169" t="n"/>
      <c r="Q27" s="154" t="inlineStr">
        <is>
          <t>2.3 DEPOSITOS A LA VISTA DE CLIENTES</t>
        </is>
      </c>
      <c r="R27" s="180">
        <f>E27</f>
        <v/>
      </c>
      <c r="S27" s="181">
        <f>F27</f>
        <v/>
      </c>
      <c r="T27" s="1">
        <f>G27</f>
        <v/>
      </c>
      <c r="U27" s="1">
        <f>H27</f>
        <v/>
      </c>
      <c r="V27" s="181">
        <f>I27</f>
        <v/>
      </c>
      <c r="W27" s="1">
        <f>J27</f>
        <v/>
      </c>
      <c r="X27" s="1">
        <f>K27</f>
        <v/>
      </c>
      <c r="Y27" s="181">
        <f>L27</f>
        <v/>
      </c>
      <c r="AB27" s="163" t="n"/>
      <c r="AD27" t="inlineStr">
        <is>
          <t>2.3 DEPOSITOS A LA VISTA DE CLIENTES</t>
        </is>
      </c>
      <c r="AE27" s="53">
        <f>R27/$AA$1</f>
        <v/>
      </c>
      <c r="AF27" s="60">
        <f>S27</f>
        <v/>
      </c>
      <c r="AG27" s="54">
        <f>T27</f>
        <v/>
      </c>
      <c r="AH27" s="108">
        <f>U27</f>
        <v/>
      </c>
      <c r="AI27" s="72">
        <f>V27</f>
        <v/>
      </c>
      <c r="AJ27" s="164">
        <f>W27</f>
        <v/>
      </c>
      <c r="AK27" s="164">
        <f>X27</f>
        <v/>
      </c>
      <c r="AL27" s="184">
        <f>Y27</f>
        <v/>
      </c>
      <c r="AM27" s="165" t="n"/>
    </row>
    <row r="28">
      <c r="O28" s="169" t="n"/>
      <c r="AB28" s="163" t="n"/>
      <c r="AG28" s="50" t="n"/>
      <c r="AH28" s="108" t="n"/>
      <c r="AM28" s="165" t="n"/>
    </row>
    <row r="29" ht="15.75" customHeight="1" s="149" thickBot="1">
      <c r="O29" s="169" t="n"/>
      <c r="AB29" s="166" t="n"/>
      <c r="AC29" s="167" t="n"/>
      <c r="AD29" s="167" t="n"/>
      <c r="AE29" s="167" t="n"/>
      <c r="AF29" s="167" t="n"/>
      <c r="AG29" s="82" t="n"/>
      <c r="AH29" s="83" t="n"/>
      <c r="AI29" s="83" t="n"/>
      <c r="AJ29" s="167" t="n"/>
      <c r="AK29" s="83" t="n"/>
      <c r="AL29" s="167" t="n"/>
      <c r="AM29" s="168" t="n"/>
    </row>
    <row r="30">
      <c r="F30" s="148" t="inlineStr">
        <is>
          <t>Load Code</t>
        </is>
      </c>
      <c r="O30" s="169" t="n"/>
      <c r="Q30" s="63" t="inlineStr">
        <is>
          <t>TOTAL</t>
        </is>
      </c>
      <c r="R30" s="186">
        <f>+R10+R16</f>
        <v/>
      </c>
      <c r="AH30" s="160" t="inlineStr">
        <is>
          <t>ESTA TABLA SE UTILIZA PARA RELLENAR EL ALCO</t>
        </is>
      </c>
      <c r="AI30" s="161" t="n"/>
      <c r="AJ30" s="161" t="n"/>
      <c r="AK30" s="161" t="n"/>
      <c r="AL30" s="162" t="n"/>
    </row>
    <row r="31">
      <c r="B31" s="9" t="inlineStr">
        <is>
          <t>JER PRODUCTO</t>
        </is>
      </c>
      <c r="F31" s="157" t="inlineStr">
        <is>
          <t>IRRBB</t>
        </is>
      </c>
      <c r="O31" s="169" t="n"/>
      <c r="Q31" s="65" t="inlineStr">
        <is>
          <t>Diferencia vs. Izquierda</t>
        </is>
      </c>
      <c r="R31" s="186">
        <f>+R30-E10-E16</f>
        <v/>
      </c>
      <c r="AH31" s="163" t="n"/>
      <c r="AL31" s="165" t="n"/>
    </row>
    <row r="32">
      <c r="B32" s="6" t="inlineStr">
        <is>
          <t>01. JER. A&amp;P</t>
        </is>
      </c>
      <c r="C32" s="6" t="inlineStr">
        <is>
          <t>Variable_Fijo</t>
        </is>
      </c>
      <c r="D32" s="6" t="inlineStr">
        <is>
          <t>02. JER. BALANCE</t>
        </is>
      </c>
      <c r="E32" s="6" t="inlineStr">
        <is>
          <t>01. JER. PRODUCTO</t>
        </is>
      </c>
      <c r="F32" s="157" t="inlineStr">
        <is>
          <t>Notional Today</t>
        </is>
      </c>
      <c r="G32" s="157" t="inlineStr">
        <is>
          <t>Vto medio</t>
        </is>
      </c>
      <c r="H32" s="157" t="inlineStr">
        <is>
          <t>Cupon medio</t>
        </is>
      </c>
      <c r="I32" s="157" t="inlineStr">
        <is>
          <t>Spread medio</t>
        </is>
      </c>
      <c r="J32" s="157" t="inlineStr">
        <is>
          <t>Reprecio medio</t>
        </is>
      </c>
      <c r="K32" s="157" t="inlineStr">
        <is>
          <t>Floor medio</t>
        </is>
      </c>
      <c r="L32" s="157" t="inlineStr">
        <is>
          <t>Dur. Efec. Pond</t>
        </is>
      </c>
      <c r="M32" s="157" t="inlineStr">
        <is>
          <t>Dur. Mac. Pond</t>
        </is>
      </c>
      <c r="O32" s="169" t="n"/>
      <c r="AH32" s="163" t="n"/>
      <c r="AL32" s="165" t="n"/>
    </row>
    <row r="33" ht="15.75" customHeight="1" s="149" thickBot="1">
      <c r="B33" s="154" t="inlineStr">
        <is>
          <t>Grand Total</t>
        </is>
      </c>
      <c r="F33" s="106" t="n"/>
      <c r="G33" s="2" t="n"/>
      <c r="H33" s="1" t="n"/>
      <c r="I33" s="1" t="n"/>
      <c r="J33" s="2" t="n"/>
      <c r="K33" s="1" t="n"/>
      <c r="L33" s="1" t="n"/>
      <c r="M33" s="2" t="n"/>
      <c r="O33" s="169" t="n"/>
      <c r="AH33" s="166" t="n"/>
      <c r="AI33" s="167" t="n"/>
      <c r="AJ33" s="167" t="n"/>
      <c r="AK33" s="167" t="n"/>
      <c r="AL33" s="168" t="n"/>
    </row>
    <row r="34">
      <c r="B34" s="156" t="inlineStr">
        <is>
          <t>1. ACTIVO</t>
        </is>
      </c>
      <c r="C34" s="154" t="inlineStr">
        <is>
          <t>Total</t>
        </is>
      </c>
      <c r="F34" s="180" t="n"/>
      <c r="G34" s="2" t="n"/>
      <c r="H34" s="1" t="n"/>
      <c r="I34" s="1" t="n"/>
      <c r="J34" s="2" t="n"/>
      <c r="K34" s="1" t="n"/>
      <c r="L34" s="1" t="n"/>
      <c r="M34" s="2" t="n"/>
      <c r="O34" s="169" t="n"/>
      <c r="R34" s="157" t="inlineStr">
        <is>
          <t>Notional Today</t>
        </is>
      </c>
      <c r="S34" s="157" t="inlineStr">
        <is>
          <t>Vto medio</t>
        </is>
      </c>
      <c r="T34" s="157" t="inlineStr">
        <is>
          <t>Cupon medio</t>
        </is>
      </c>
      <c r="U34" s="157" t="inlineStr">
        <is>
          <t>Spread medio</t>
        </is>
      </c>
      <c r="V34" s="157" t="inlineStr">
        <is>
          <t>Reprecio medio</t>
        </is>
      </c>
      <c r="W34" s="157" t="inlineStr">
        <is>
          <t>Floor medio</t>
        </is>
      </c>
      <c r="AG34" s="50" t="n"/>
    </row>
    <row r="35">
      <c r="C35" s="156" t="inlineStr">
        <is>
          <t>Fijo</t>
        </is>
      </c>
      <c r="D35" s="154" t="n"/>
      <c r="F35" s="187" t="n"/>
      <c r="G35" s="187" t="n"/>
      <c r="H35" s="187" t="n"/>
      <c r="I35" s="187" t="n"/>
      <c r="J35" s="187" t="n"/>
      <c r="K35" s="187" t="n"/>
      <c r="L35" s="187" t="n"/>
      <c r="M35" s="187" t="n"/>
      <c r="O35" s="66" t="inlineStr">
        <is>
          <t>FIJO</t>
        </is>
      </c>
      <c r="P35" s="154" t="inlineStr">
        <is>
          <t>1.4 INVERSION CREDITICIA</t>
        </is>
      </c>
      <c r="Q35" s="67" t="inlineStr">
        <is>
          <t>ACTIVO CORTO PLAZO</t>
        </is>
      </c>
      <c r="R35" s="182">
        <f>F39</f>
        <v/>
      </c>
      <c r="S35" s="182">
        <f>G39</f>
        <v/>
      </c>
      <c r="T35" s="182">
        <f>H39</f>
        <v/>
      </c>
      <c r="U35" s="182">
        <f>I39</f>
        <v/>
      </c>
      <c r="V35" s="182">
        <f>J39</f>
        <v/>
      </c>
      <c r="W35" s="182">
        <f>K39</f>
        <v/>
      </c>
      <c r="X35" s="1" t="n"/>
      <c r="Y35" s="2" t="n"/>
      <c r="AB35" s="99" t="inlineStr">
        <is>
          <t>COMENTARIO: Para la parte fija se pone el vencimiento y para la parte variable, la columna de stock se rellena con reprecio y la de nuevos con el vencimiento de lo nuevo.</t>
        </is>
      </c>
      <c r="AG35" s="50" t="n"/>
    </row>
    <row r="36">
      <c r="D36" s="154" t="n"/>
      <c r="E36" s="154" t="n"/>
      <c r="F36" s="187" t="n"/>
      <c r="G36" s="187" t="n"/>
      <c r="H36" s="187" t="n"/>
      <c r="I36" s="187" t="n"/>
      <c r="J36" s="187" t="n"/>
      <c r="K36" s="187" t="n"/>
      <c r="L36" s="187" t="n"/>
      <c r="M36" s="187" t="n"/>
      <c r="O36" s="169" t="n"/>
      <c r="Q36" s="154" t="inlineStr">
        <is>
          <t>ANTICIPO NOMINA</t>
        </is>
      </c>
      <c r="R36" s="180">
        <f>F40</f>
        <v/>
      </c>
      <c r="S36" s="180">
        <f>G40</f>
        <v/>
      </c>
      <c r="T36" s="180">
        <f>H40</f>
        <v/>
      </c>
      <c r="U36" s="180">
        <f>I40</f>
        <v/>
      </c>
      <c r="V36" s="180">
        <f>J40</f>
        <v/>
      </c>
      <c r="W36" s="180">
        <f>K40</f>
        <v/>
      </c>
      <c r="X36" s="1" t="n"/>
      <c r="Y36" s="2" t="n"/>
      <c r="AG36" s="50" t="n"/>
    </row>
    <row r="37">
      <c r="D37" s="154" t="n"/>
      <c r="E37" s="154" t="n"/>
      <c r="F37" s="187" t="n"/>
      <c r="G37" s="187" t="n"/>
      <c r="H37" s="187" t="n"/>
      <c r="I37" s="187" t="n"/>
      <c r="J37" s="187" t="n"/>
      <c r="K37" s="187" t="n"/>
      <c r="L37" s="187" t="n"/>
      <c r="M37" s="187" t="n"/>
      <c r="O37" s="169" t="n"/>
      <c r="Q37" s="154" t="inlineStr">
        <is>
          <t>CREDITOS</t>
        </is>
      </c>
      <c r="R37" s="180">
        <f>F41</f>
        <v/>
      </c>
      <c r="S37" s="180">
        <f>G41</f>
        <v/>
      </c>
      <c r="T37" s="14">
        <f>H41</f>
        <v/>
      </c>
      <c r="U37" s="180">
        <f>I41</f>
        <v/>
      </c>
      <c r="V37" s="180">
        <f>J41</f>
        <v/>
      </c>
      <c r="W37" s="180">
        <f>K41</f>
        <v/>
      </c>
      <c r="X37" s="1" t="n"/>
      <c r="Y37" s="2" t="n"/>
      <c r="AG37" s="50" t="n"/>
    </row>
    <row r="38">
      <c r="D38" s="154" t="n"/>
      <c r="E38" s="154" t="n"/>
      <c r="F38" s="187" t="n"/>
      <c r="G38" s="187" t="n"/>
      <c r="H38" s="187" t="n"/>
      <c r="I38" s="187" t="n"/>
      <c r="J38" s="187" t="n"/>
      <c r="K38" s="187" t="n"/>
      <c r="L38" s="187" t="n"/>
      <c r="M38" s="187" t="n"/>
      <c r="O38" s="169" t="n"/>
      <c r="Q38" s="154" t="inlineStr">
        <is>
          <t>DESCUBIERTOS</t>
        </is>
      </c>
      <c r="R38" s="180">
        <f>F42</f>
        <v/>
      </c>
      <c r="S38" s="180">
        <f>G42</f>
        <v/>
      </c>
      <c r="T38" s="14">
        <f>H42</f>
        <v/>
      </c>
      <c r="U38" s="180">
        <f>I42</f>
        <v/>
      </c>
      <c r="V38" s="180">
        <f>J42</f>
        <v/>
      </c>
      <c r="W38" s="180">
        <f>K42</f>
        <v/>
      </c>
      <c r="X38" s="1" t="n"/>
      <c r="Y38" s="2" t="n"/>
      <c r="AG38" s="50" t="n"/>
    </row>
    <row r="39">
      <c r="D39" s="158" t="inlineStr">
        <is>
          <t>1.4 INVERSION CREDITICIA</t>
        </is>
      </c>
      <c r="E39" s="134" t="inlineStr">
        <is>
          <t>ACTIVO CORTO PLAZO</t>
        </is>
      </c>
      <c r="F39" s="188" t="n">
        <v>141236274.78</v>
      </c>
      <c r="G39" s="188" t="n">
        <v>4.298650376949569</v>
      </c>
      <c r="H39" s="188" t="n">
        <v>0.05570358959175884</v>
      </c>
      <c r="I39" s="188" t="n">
        <v>0.02648874825860087</v>
      </c>
      <c r="J39" s="188" t="n">
        <v/>
      </c>
      <c r="K39" s="188" t="n">
        <v>0</v>
      </c>
      <c r="L39" s="188" t="n">
        <v>0.003574665002186716</v>
      </c>
      <c r="M39" s="188" t="n">
        <v>0.3583053607248139</v>
      </c>
      <c r="O39" s="169" t="n"/>
      <c r="Q39" s="154" t="inlineStr">
        <is>
          <t>PRESTAMOS</t>
        </is>
      </c>
      <c r="R39" s="180">
        <f>F43</f>
        <v/>
      </c>
      <c r="S39" s="180">
        <f>G43</f>
        <v/>
      </c>
      <c r="T39" s="14">
        <f>H43</f>
        <v/>
      </c>
      <c r="U39" s="180">
        <f>I43</f>
        <v/>
      </c>
      <c r="V39" s="180">
        <f>J43</f>
        <v/>
      </c>
      <c r="W39" s="180">
        <f>K43</f>
        <v/>
      </c>
      <c r="X39" s="1" t="n"/>
      <c r="Y39" s="2" t="n"/>
      <c r="AG39" s="50" t="n"/>
    </row>
    <row r="40">
      <c r="D40" s="171" t="n"/>
      <c r="E40" s="154" t="inlineStr">
        <is>
          <t>ANTICIPO NOMINA</t>
        </is>
      </c>
      <c r="F40" s="188" t="n">
        <v>4176.099999999999</v>
      </c>
      <c r="G40" s="188" t="n">
        <v>1.190745831437625</v>
      </c>
      <c r="H40" s="188" t="n">
        <v>0</v>
      </c>
      <c r="I40" s="188" t="n">
        <v>0</v>
      </c>
      <c r="J40" s="188" t="n">
        <v/>
      </c>
      <c r="K40" s="188" t="n">
        <v>0</v>
      </c>
      <c r="L40" s="188" t="n">
        <v>0.02209307408994183</v>
      </c>
      <c r="M40" s="188" t="n">
        <v>2.275296873721587</v>
      </c>
      <c r="O40" s="169" t="n"/>
      <c r="Q40" s="154" t="inlineStr">
        <is>
          <t>TARJETAS CREDITO</t>
        </is>
      </c>
      <c r="R40" s="180">
        <f>F44</f>
        <v/>
      </c>
      <c r="S40" s="180">
        <f>G44</f>
        <v/>
      </c>
      <c r="T40" s="180">
        <f>H44</f>
        <v/>
      </c>
      <c r="U40" s="180">
        <f>I44</f>
        <v/>
      </c>
      <c r="V40" s="180">
        <f>J44</f>
        <v/>
      </c>
      <c r="W40" s="180">
        <f>K44</f>
        <v/>
      </c>
      <c r="X40" s="1" t="n"/>
      <c r="Y40" s="2" t="n"/>
      <c r="AG40" s="50" t="n"/>
    </row>
    <row r="41">
      <c r="D41" s="171" t="n"/>
      <c r="E41" s="154" t="inlineStr">
        <is>
          <t>CREDITOS</t>
        </is>
      </c>
      <c r="F41" s="188" t="n">
        <v>411579.14</v>
      </c>
      <c r="G41" s="188" t="n">
        <v>3.329266224878809</v>
      </c>
      <c r="H41" s="188" t="n">
        <v>0.06675013965722365</v>
      </c>
      <c r="I41" s="188" t="n">
        <v>0.06675013965722365</v>
      </c>
      <c r="J41" s="188" t="n">
        <v/>
      </c>
      <c r="K41" s="188" t="n">
        <v>0</v>
      </c>
      <c r="L41" s="188" t="n">
        <v>0.00284303206761528</v>
      </c>
      <c r="M41" s="188" t="n">
        <v>0.2903474198639417</v>
      </c>
      <c r="O41" s="169" t="n"/>
      <c r="AG41" s="50" t="n"/>
    </row>
    <row r="42">
      <c r="D42" s="171" t="n"/>
      <c r="E42" s="154" t="inlineStr">
        <is>
          <t>DESCUBIERTOS</t>
        </is>
      </c>
      <c r="F42" s="188" t="n">
        <v>1185831.74</v>
      </c>
      <c r="G42" s="188" t="n">
        <v/>
      </c>
      <c r="H42" s="188" t="n">
        <v>8.469870809833444e-05</v>
      </c>
      <c r="I42" s="188" t="n">
        <v>9.175593495245793e-05</v>
      </c>
      <c r="J42" s="188" t="n">
        <v/>
      </c>
      <c r="K42" s="188" t="n">
        <v>0</v>
      </c>
      <c r="L42" s="188" t="n">
        <v>0.001939647956358958</v>
      </c>
      <c r="M42" s="188" t="n">
        <v>0.1981788850591212</v>
      </c>
      <c r="O42" s="66" t="inlineStr">
        <is>
          <t>VARIABLE</t>
        </is>
      </c>
      <c r="P42" s="173" t="inlineStr">
        <is>
          <t>1.4 INVERSION CREDITICIA</t>
        </is>
      </c>
      <c r="Q42" s="154" t="inlineStr">
        <is>
          <t>CREDITOS</t>
        </is>
      </c>
      <c r="R42" s="180">
        <f>F54</f>
        <v/>
      </c>
      <c r="S42" s="180">
        <f>G54</f>
        <v/>
      </c>
      <c r="T42" s="180">
        <f>H54</f>
        <v/>
      </c>
      <c r="U42" s="180">
        <f>I54</f>
        <v/>
      </c>
      <c r="V42" s="180">
        <f>J54</f>
        <v/>
      </c>
      <c r="W42" s="97">
        <f>K54</f>
        <v/>
      </c>
      <c r="AG42" s="50" t="n"/>
    </row>
    <row r="43">
      <c r="D43" s="171" t="n"/>
      <c r="E43" s="154" t="inlineStr">
        <is>
          <t>PRESTAMOS</t>
        </is>
      </c>
      <c r="F43" s="188" t="n">
        <v>10594386.25809</v>
      </c>
      <c r="G43" s="188" t="n">
        <v>43.73507171784552</v>
      </c>
      <c r="H43" s="188" t="n">
        <v>0.07354218487025233</v>
      </c>
      <c r="I43" s="188" t="n">
        <v>0.0734764501745073</v>
      </c>
      <c r="J43" s="188" t="n">
        <v/>
      </c>
      <c r="K43" s="188" t="n">
        <v>0</v>
      </c>
      <c r="L43" s="188" t="n">
        <v>0.01432452534408315</v>
      </c>
      <c r="M43" s="188" t="n">
        <v>1.46188978281455</v>
      </c>
      <c r="O43" s="169" t="n"/>
      <c r="Q43" s="154" t="inlineStr">
        <is>
          <t>PRESTAMOS</t>
        </is>
      </c>
      <c r="R43" s="180">
        <f>F55</f>
        <v/>
      </c>
      <c r="S43" s="180">
        <f>G55</f>
        <v/>
      </c>
      <c r="T43" s="180">
        <f>H55</f>
        <v/>
      </c>
      <c r="U43" s="180">
        <f>I55</f>
        <v/>
      </c>
      <c r="V43" s="180">
        <f>J55</f>
        <v/>
      </c>
      <c r="W43" s="189">
        <f>K55</f>
        <v/>
      </c>
      <c r="AG43" s="50" t="n"/>
    </row>
    <row r="44">
      <c r="D44" s="159" t="n"/>
      <c r="E44" s="178" t="inlineStr">
        <is>
          <t>TARJETAS CREDITO</t>
        </is>
      </c>
      <c r="F44" s="188" t="n">
        <v>1236065.97</v>
      </c>
      <c r="G44" s="188" t="n">
        <v>1.08009951847473</v>
      </c>
      <c r="H44" s="188" t="n">
        <v>0.002827041828519879</v>
      </c>
      <c r="I44" s="188" t="n">
        <v/>
      </c>
      <c r="J44" s="188" t="n">
        <v/>
      </c>
      <c r="K44" s="188" t="n">
        <v>0</v>
      </c>
      <c r="L44" s="188" t="n">
        <v>0.0008458545161316057</v>
      </c>
      <c r="M44" s="188" t="n">
        <v>0.0864626879474935</v>
      </c>
      <c r="O44" s="169" t="n"/>
      <c r="Q44" s="67" t="inlineStr">
        <is>
          <t>ACTIVO CORTO PLAZO</t>
        </is>
      </c>
      <c r="R44" s="182" t="n"/>
      <c r="S44" s="68" t="n"/>
      <c r="T44" s="59" t="n"/>
      <c r="U44" s="190" t="n"/>
      <c r="V44" s="68" t="n"/>
      <c r="W44" s="191" t="n"/>
      <c r="AG44" s="50" t="n"/>
    </row>
    <row r="45">
      <c r="D45" s="154" t="inlineStr">
        <is>
          <t>1.5 RENTA FIJA</t>
        </is>
      </c>
      <c r="E45" s="154" t="inlineStr">
        <is>
          <t>A_Bonos corporativos</t>
        </is>
      </c>
      <c r="F45" s="187" t="n"/>
      <c r="G45" s="187" t="n"/>
      <c r="H45" s="187" t="n"/>
      <c r="I45" s="187" t="n"/>
      <c r="J45" s="187" t="n"/>
      <c r="K45" s="187" t="n"/>
      <c r="L45" s="187" t="n"/>
      <c r="M45" s="187" t="n"/>
      <c r="O45" s="169" t="n"/>
      <c r="AG45" s="50" t="n"/>
    </row>
    <row r="46">
      <c r="E46" s="154" t="inlineStr">
        <is>
          <t>A_Bonos soberanos</t>
        </is>
      </c>
      <c r="F46" s="187" t="n"/>
      <c r="G46" s="187" t="n"/>
      <c r="H46" s="187" t="n"/>
      <c r="I46" s="187" t="n"/>
      <c r="J46" s="187" t="n"/>
      <c r="K46" s="187" t="n"/>
      <c r="L46" s="187" t="n"/>
      <c r="M46" s="187" t="n"/>
      <c r="O46" s="169" t="n"/>
      <c r="AG46" s="50" t="n"/>
    </row>
    <row r="47">
      <c r="D47" s="154" t="inlineStr">
        <is>
          <t>1.6 ACTIVOS DUDOSOS</t>
        </is>
      </c>
      <c r="E47" s="154" t="inlineStr">
        <is>
          <t>ACTIVOS DUDOSOS</t>
        </is>
      </c>
      <c r="F47" s="187" t="n"/>
      <c r="G47" s="187" t="n"/>
      <c r="H47" s="187" t="n"/>
      <c r="I47" s="187" t="n"/>
      <c r="J47" s="187" t="n"/>
      <c r="K47" s="187" t="n"/>
      <c r="L47" s="187" t="n"/>
      <c r="M47" s="187" t="n"/>
      <c r="O47" s="169" t="n"/>
      <c r="R47" s="186">
        <f>+SUM(R35:R44)</f>
        <v/>
      </c>
      <c r="AG47" s="50" t="n"/>
    </row>
    <row r="48">
      <c r="D48" s="154" t="inlineStr">
        <is>
          <t>1.7 ACTIVOS NO SENSIBLE</t>
        </is>
      </c>
      <c r="E48" s="154" t="inlineStr">
        <is>
          <t>A_Renta Variable</t>
        </is>
      </c>
      <c r="F48" s="187" t="n"/>
      <c r="G48" s="187" t="n"/>
      <c r="H48" s="187" t="n"/>
      <c r="I48" s="187" t="n"/>
      <c r="J48" s="187" t="n"/>
      <c r="K48" s="187" t="n"/>
      <c r="L48" s="187" t="n"/>
      <c r="M48" s="187" t="n"/>
      <c r="O48" s="169" t="n"/>
      <c r="Q48" s="65" t="inlineStr">
        <is>
          <t>Diferencia vs. Izquierda</t>
        </is>
      </c>
      <c r="R48" s="186">
        <f>+R47-(F39+F40+F42+F43+F44+F41+F54+F55+F53)</f>
        <v/>
      </c>
      <c r="S48" t="inlineStr">
        <is>
          <t>tiene que salir 0 en la celda de la izquierda</t>
        </is>
      </c>
      <c r="AG48" s="50" t="n"/>
    </row>
    <row r="49">
      <c r="E49" s="154" t="inlineStr">
        <is>
          <t>A_Resto no sensible</t>
        </is>
      </c>
      <c r="F49" s="187" t="n"/>
      <c r="G49" s="187" t="n"/>
      <c r="H49" s="187" t="n"/>
      <c r="I49" s="187" t="n"/>
      <c r="J49" s="187" t="n"/>
      <c r="K49" s="187" t="n"/>
      <c r="L49" s="187" t="n"/>
      <c r="M49" s="187" t="n"/>
      <c r="O49" s="169" t="n"/>
      <c r="AG49" s="50" t="n"/>
    </row>
    <row r="50">
      <c r="E50" s="154" t="inlineStr">
        <is>
          <t>A_Tesoreria_Admin.</t>
        </is>
      </c>
      <c r="F50" s="187" t="n"/>
      <c r="G50" s="187" t="n"/>
      <c r="H50" s="187" t="n"/>
      <c r="I50" s="187" t="n"/>
      <c r="J50" s="187" t="n"/>
      <c r="K50" s="187" t="n"/>
      <c r="L50" s="187" t="n"/>
      <c r="M50" s="187" t="n"/>
      <c r="O50" s="169" t="n"/>
      <c r="AG50" s="50" t="n"/>
    </row>
    <row r="51">
      <c r="C51" s="156" t="inlineStr">
        <is>
          <t>Variable</t>
        </is>
      </c>
      <c r="D51" s="154" t="inlineStr">
        <is>
          <t>Total</t>
        </is>
      </c>
      <c r="F51" s="187" t="n"/>
      <c r="G51" s="187" t="n"/>
      <c r="H51" s="187" t="n"/>
      <c r="I51" s="187" t="n"/>
      <c r="J51" s="187" t="n"/>
      <c r="K51" s="187" t="n"/>
      <c r="L51" s="187" t="n"/>
      <c r="M51" s="187" t="n"/>
      <c r="O51" s="169" t="n"/>
      <c r="AG51" s="50" t="n"/>
    </row>
    <row r="52">
      <c r="D52" s="154" t="inlineStr">
        <is>
          <t>1.1 BANCOS</t>
        </is>
      </c>
      <c r="E52" s="154" t="inlineStr">
        <is>
          <t>BANCOS</t>
        </is>
      </c>
      <c r="F52" s="187" t="n"/>
      <c r="G52" s="187" t="n"/>
      <c r="H52" s="187" t="n"/>
      <c r="I52" s="187" t="n"/>
      <c r="J52" s="187" t="n"/>
      <c r="K52" s="187" t="n"/>
      <c r="L52" s="187" t="n"/>
      <c r="M52" s="187" t="n"/>
      <c r="O52" s="169" t="n"/>
      <c r="AG52" s="50" t="n"/>
    </row>
    <row r="53">
      <c r="D53" s="150" t="inlineStr">
        <is>
          <t>1.4 INVERSION CREDITICIA</t>
        </is>
      </c>
      <c r="E53" s="154" t="inlineStr">
        <is>
          <t>ACTIVO CORTO PLAZO</t>
        </is>
      </c>
      <c r="F53" s="187" t="n"/>
      <c r="G53" s="187" t="n"/>
      <c r="H53" s="187" t="n"/>
      <c r="I53" s="187" t="n"/>
      <c r="J53" s="187" t="n"/>
      <c r="K53" s="187" t="n"/>
      <c r="L53" s="187" t="n"/>
      <c r="M53" s="187" t="n"/>
      <c r="O53" s="169" t="n"/>
      <c r="R53" t="n">
        <v>100</v>
      </c>
      <c r="AG53" s="50" t="n"/>
    </row>
    <row r="54" ht="15.75" customHeight="1" s="149" thickBot="1">
      <c r="E54" s="174" t="inlineStr">
        <is>
          <t>CREDITOS</t>
        </is>
      </c>
      <c r="F54" s="188" t="n">
        <v>19426360.86</v>
      </c>
      <c r="G54" s="188" t="n">
        <v>65.91631574422426</v>
      </c>
      <c r="H54" s="188" t="n">
        <v>0.04808429605555058</v>
      </c>
      <c r="I54" s="188" t="n">
        <v>0.02350370315323176</v>
      </c>
      <c r="J54" s="188" t="n">
        <v>63.88133011622983</v>
      </c>
      <c r="K54" s="188" t="n">
        <v>0.01499467867616869</v>
      </c>
      <c r="L54" s="188" t="n">
        <v>0.003888787451915854</v>
      </c>
      <c r="M54" s="188" t="n">
        <v>3.374561571663459</v>
      </c>
      <c r="O54" s="69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1" t="n"/>
    </row>
    <row r="55" ht="21" customHeight="1" s="149">
      <c r="D55" s="151" t="n"/>
      <c r="E55" s="178" t="inlineStr">
        <is>
          <t>PRESTAMOS</t>
        </is>
      </c>
      <c r="F55" s="188" t="n">
        <v>2039233224.645213</v>
      </c>
      <c r="G55" s="188" t="n">
        <v>127.6588543726733</v>
      </c>
      <c r="H55" s="188" t="n">
        <v>0.04687376393066055</v>
      </c>
      <c r="I55" s="188" t="n">
        <v>0.02113398647507962</v>
      </c>
      <c r="J55" s="188" t="n">
        <v>122.4158157897945</v>
      </c>
      <c r="K55" s="188" t="n">
        <v>0.01993685413573998</v>
      </c>
      <c r="L55" s="188" t="n">
        <v>0.008381119258789999</v>
      </c>
      <c r="M55" s="188" t="n">
        <v>3.406840073680615</v>
      </c>
      <c r="P55" s="170" t="inlineStr">
        <is>
          <t>MODIFICAR 3 TABLAS DE LA IZQUIERDA (AMARILLO)</t>
        </is>
      </c>
      <c r="Q55" s="153" t="n"/>
      <c r="R55" s="153" t="n"/>
      <c r="S55" s="153" t="n"/>
      <c r="T55" s="153" t="n"/>
      <c r="U55" s="153" t="n"/>
    </row>
    <row r="56" ht="21" customHeight="1" s="149">
      <c r="B56" s="156" t="n"/>
      <c r="C56" s="156" t="n"/>
      <c r="D56" s="156" t="inlineStr">
        <is>
          <t>1.5 RENTA FIJA</t>
        </is>
      </c>
      <c r="E56" s="154" t="inlineStr">
        <is>
          <t>A_Bonos corporativos</t>
        </is>
      </c>
      <c r="F56" s="187" t="n"/>
      <c r="G56" s="187" t="n"/>
      <c r="H56" s="187" t="n"/>
      <c r="I56" s="187" t="n"/>
      <c r="J56" s="187" t="n"/>
      <c r="K56" s="187" t="n"/>
      <c r="L56" s="187" t="n"/>
      <c r="M56" s="187" t="n"/>
      <c r="P56" s="125" t="n"/>
      <c r="Q56" s="125" t="n"/>
      <c r="R56" s="125" t="n"/>
      <c r="S56" s="125" t="n"/>
      <c r="T56" s="125" t="n"/>
      <c r="U56" s="125" t="n"/>
    </row>
    <row r="57" ht="21" customHeight="1" s="149">
      <c r="B57" s="156" t="n"/>
      <c r="C57" s="156" t="n"/>
      <c r="D57" t="inlineStr">
        <is>
          <t>1.6 ACTIVOS DUDOSOS</t>
        </is>
      </c>
      <c r="E57" s="100" t="inlineStr">
        <is>
          <t>ACTIVOS DUDOSOS</t>
        </is>
      </c>
      <c r="P57" s="125" t="n"/>
      <c r="Q57" s="125" t="n"/>
      <c r="R57" s="125" t="n"/>
      <c r="S57" s="125" t="n"/>
      <c r="T57" s="125" t="n"/>
      <c r="U57" s="125" t="n"/>
    </row>
    <row r="58">
      <c r="B58" s="154" t="inlineStr">
        <is>
          <t>2. PASIVO</t>
        </is>
      </c>
      <c r="C58" s="154" t="inlineStr">
        <is>
          <t>Total</t>
        </is>
      </c>
      <c r="F58" s="187" t="n"/>
      <c r="G58" s="187" t="n"/>
      <c r="H58" s="187" t="n"/>
      <c r="I58" s="187" t="n"/>
      <c r="J58" s="187" t="n"/>
      <c r="K58" s="187" t="n"/>
      <c r="L58" s="187" t="n"/>
      <c r="M58" s="187" t="n"/>
    </row>
    <row r="59">
      <c r="C59" s="156" t="inlineStr">
        <is>
          <t>Fijo</t>
        </is>
      </c>
      <c r="D59" s="154" t="inlineStr">
        <is>
          <t>Total</t>
        </is>
      </c>
      <c r="F59" s="187" t="n"/>
      <c r="G59" s="187" t="n"/>
      <c r="H59" s="187" t="n"/>
      <c r="I59" s="187" t="n"/>
      <c r="J59" s="187" t="n"/>
      <c r="K59" s="187" t="n"/>
      <c r="L59" s="187" t="n"/>
      <c r="M59" s="187" t="n"/>
      <c r="R59" s="184" t="n"/>
    </row>
    <row r="60">
      <c r="D60" s="154" t="inlineStr">
        <is>
          <t>2.1 DEPOSITOS OTRAS EECC</t>
        </is>
      </c>
      <c r="E60" s="154" t="inlineStr">
        <is>
          <t>P_BANCOS</t>
        </is>
      </c>
      <c r="F60" s="187" t="n"/>
      <c r="G60" s="187" t="n"/>
      <c r="H60" s="187" t="n"/>
      <c r="I60" s="187" t="n"/>
      <c r="J60" s="187" t="n"/>
      <c r="K60" s="187" t="n"/>
      <c r="L60" s="187" t="n"/>
      <c r="M60" s="187" t="n"/>
    </row>
    <row r="61">
      <c r="D61" s="154" t="inlineStr">
        <is>
          <t>2.2 DEPOSITOS A PLAZO DE CLIENTES</t>
        </is>
      </c>
      <c r="E61" s="154" t="inlineStr">
        <is>
          <t>PLAZO</t>
        </is>
      </c>
      <c r="F61" s="187" t="n"/>
      <c r="G61" s="187" t="n"/>
      <c r="H61" s="187" t="n"/>
      <c r="I61" s="187" t="n"/>
      <c r="J61" s="187" t="n"/>
      <c r="K61" s="187" t="n"/>
      <c r="L61" s="187" t="n"/>
      <c r="M61" s="187" t="n"/>
    </row>
    <row r="62">
      <c r="D62" s="154" t="inlineStr">
        <is>
          <t>2.3 DEPOSITOS A LA VISTA DE CLIENTES</t>
        </is>
      </c>
      <c r="E62" s="154" t="inlineStr">
        <is>
          <t>CTAS NO REMUNERADAS</t>
        </is>
      </c>
      <c r="F62" s="187" t="n"/>
      <c r="G62" s="187" t="n"/>
      <c r="H62" s="187" t="n"/>
      <c r="I62" s="187" t="n"/>
      <c r="J62" s="187" t="n"/>
      <c r="K62" s="187" t="n"/>
      <c r="L62" s="187" t="n"/>
      <c r="M62" s="187" t="n"/>
    </row>
    <row r="63">
      <c r="D63" s="154" t="n"/>
      <c r="E63" s="154" t="inlineStr">
        <is>
          <t>CTAS REMUNERADAS</t>
        </is>
      </c>
      <c r="F63" s="187" t="n"/>
      <c r="G63" s="187" t="n"/>
      <c r="H63" s="187" t="n"/>
      <c r="I63" s="187" t="n"/>
      <c r="J63" s="187" t="n"/>
      <c r="K63" s="187" t="n"/>
      <c r="L63" s="187" t="n"/>
      <c r="M63" s="187" t="n"/>
    </row>
    <row r="64">
      <c r="D64" s="154" t="inlineStr">
        <is>
          <t>2.4 PASIVOS NO SENSIBLES</t>
        </is>
      </c>
      <c r="E64" s="154" t="inlineStr">
        <is>
          <t>P_Resto no sensible</t>
        </is>
      </c>
      <c r="F64" s="187" t="n"/>
      <c r="G64" s="187" t="n"/>
      <c r="H64" s="187" t="n"/>
      <c r="I64" s="187" t="n"/>
      <c r="J64" s="187" t="n"/>
      <c r="K64" s="187" t="n"/>
      <c r="L64" s="187" t="n"/>
      <c r="M64" s="187" t="n"/>
    </row>
    <row r="65">
      <c r="E65" s="154" t="inlineStr">
        <is>
          <t>P_Tesoreria_Admin.</t>
        </is>
      </c>
      <c r="F65" s="187" t="n"/>
      <c r="G65" s="187" t="n"/>
      <c r="H65" s="187" t="n"/>
      <c r="I65" s="187" t="n"/>
      <c r="J65" s="187" t="n"/>
      <c r="K65" s="187" t="n"/>
      <c r="L65" s="187" t="n"/>
      <c r="M65" s="187" t="n"/>
    </row>
    <row r="66">
      <c r="D66" s="156" t="inlineStr">
        <is>
          <t>2.5 CARTERA MAYORISTA</t>
        </is>
      </c>
      <c r="E66" s="154" t="inlineStr">
        <is>
          <t>P_Ata</t>
        </is>
      </c>
      <c r="F66" s="187" t="n"/>
      <c r="G66" s="187" t="n"/>
      <c r="H66" s="187" t="n"/>
      <c r="I66" s="187" t="n"/>
      <c r="J66" s="187" t="n"/>
      <c r="K66" s="187" t="n"/>
      <c r="L66" s="187" t="n"/>
      <c r="M66" s="187" t="n"/>
    </row>
    <row r="67">
      <c r="E67" s="154" t="inlineStr">
        <is>
          <t>P_Emisiones T2</t>
        </is>
      </c>
      <c r="F67" s="187" t="n"/>
      <c r="G67" s="187" t="n"/>
      <c r="H67" s="187" t="n"/>
      <c r="I67" s="187" t="n"/>
      <c r="J67" s="187" t="n"/>
      <c r="K67" s="187" t="n"/>
      <c r="L67" s="187" t="n"/>
      <c r="M67" s="187" t="n"/>
    </row>
    <row r="68">
      <c r="C68" s="154" t="inlineStr">
        <is>
          <t>Variable</t>
        </is>
      </c>
      <c r="D68" s="154" t="inlineStr">
        <is>
          <t>Total</t>
        </is>
      </c>
      <c r="E68" s="154" t="n"/>
      <c r="F68" s="187" t="n"/>
      <c r="G68" s="187" t="n"/>
      <c r="H68" s="187" t="n"/>
      <c r="I68" s="187" t="n"/>
      <c r="J68" s="187" t="n"/>
      <c r="K68" s="187" t="n"/>
      <c r="L68" s="187" t="n"/>
      <c r="M68" s="187" t="n"/>
    </row>
    <row r="69">
      <c r="D69" s="154" t="inlineStr">
        <is>
          <t>2.3 DEPOSITOS A LA VISTA DE CLIENTES</t>
        </is>
      </c>
      <c r="E69" s="154" t="n"/>
      <c r="F69" s="187" t="n"/>
      <c r="G69" s="187" t="n"/>
      <c r="H69" s="187" t="n"/>
      <c r="I69" s="187" t="n"/>
      <c r="J69" s="187" t="n"/>
      <c r="K69" s="187" t="n"/>
      <c r="L69" s="187" t="n"/>
      <c r="M69" s="187" t="n"/>
    </row>
    <row r="70">
      <c r="D70" s="154" t="n"/>
      <c r="E70" s="154" t="inlineStr">
        <is>
          <t>CTAS REMUNERADAS</t>
        </is>
      </c>
      <c r="F70" s="5" t="n"/>
      <c r="G70" s="2" t="n"/>
      <c r="H70" s="1" t="n"/>
      <c r="I70" s="1" t="n"/>
      <c r="J70" s="2" t="n"/>
      <c r="K70" s="1" t="n"/>
      <c r="L70" s="1" t="n"/>
      <c r="M70" s="2" t="n"/>
    </row>
    <row r="71">
      <c r="D71" s="154" t="n"/>
      <c r="E71" s="154" t="n"/>
      <c r="F71" s="5" t="n"/>
      <c r="G71" s="2" t="n"/>
      <c r="H71" s="1" t="n"/>
      <c r="I71" s="1" t="n"/>
      <c r="J71" s="2" t="n"/>
      <c r="K71" s="1" t="n"/>
      <c r="L71" s="1" t="n"/>
      <c r="M71" s="2" t="n"/>
    </row>
    <row r="72">
      <c r="E72" s="154" t="n"/>
    </row>
    <row r="73">
      <c r="F73" s="148" t="inlineStr">
        <is>
          <t>Load Code</t>
        </is>
      </c>
    </row>
    <row r="74">
      <c r="B74" s="9" t="inlineStr">
        <is>
          <t>JER NMD REFERENCE</t>
        </is>
      </c>
      <c r="F74" s="157" t="inlineStr">
        <is>
          <t>IRRBB</t>
        </is>
      </c>
    </row>
    <row r="75">
      <c r="B75" s="6" t="inlineStr">
        <is>
          <t>01. JER. A&amp;P</t>
        </is>
      </c>
      <c r="C75" s="6" t="inlineStr">
        <is>
          <t>Variable_Fijo</t>
        </is>
      </c>
      <c r="D75" s="6" t="inlineStr">
        <is>
          <t>02. JER. BALANCE</t>
        </is>
      </c>
      <c r="F75" s="157" t="inlineStr">
        <is>
          <t>Notional Today</t>
        </is>
      </c>
      <c r="G75" s="157" t="inlineStr">
        <is>
          <t>Vto medio</t>
        </is>
      </c>
      <c r="H75" s="157" t="inlineStr">
        <is>
          <t>Cupon medio</t>
        </is>
      </c>
      <c r="I75" s="157" t="inlineStr">
        <is>
          <t>Spread medio</t>
        </is>
      </c>
      <c r="J75" s="157" t="inlineStr">
        <is>
          <t>Reprecio medio</t>
        </is>
      </c>
      <c r="K75" s="157" t="inlineStr">
        <is>
          <t>Floor medio</t>
        </is>
      </c>
      <c r="L75" s="157" t="inlineStr">
        <is>
          <t>Dur. Efec. Pond</t>
        </is>
      </c>
      <c r="M75" s="157" t="inlineStr">
        <is>
          <t>Dur. Mac. Pond</t>
        </is>
      </c>
      <c r="O75" s="157" t="n"/>
      <c r="P75" s="157" t="n"/>
      <c r="Q75" s="157" t="n"/>
      <c r="R75" s="157" t="n"/>
      <c r="S75" s="157" t="n"/>
      <c r="T75" s="157" t="n"/>
      <c r="U75" s="157" t="n"/>
      <c r="V75" s="157" t="n"/>
    </row>
    <row r="76">
      <c r="B76" s="154" t="inlineStr">
        <is>
          <t>Grand Total</t>
        </is>
      </c>
      <c r="C76" s="154" t="n"/>
      <c r="D76" s="154" t="n"/>
      <c r="E76" s="6" t="inlineStr">
        <is>
          <t>Nmd Ref</t>
        </is>
      </c>
      <c r="F76" s="180" t="n"/>
      <c r="G76" s="2" t="n"/>
      <c r="H76" s="1" t="n"/>
      <c r="I76" s="1" t="n"/>
      <c r="J76" s="2" t="n"/>
      <c r="K76" s="1" t="n"/>
      <c r="L76" s="1" t="n"/>
      <c r="M76" s="2" t="n"/>
    </row>
    <row r="77">
      <c r="B77" s="154" t="inlineStr">
        <is>
          <t>1. ACTIVO</t>
        </is>
      </c>
      <c r="C77" s="154" t="inlineStr">
        <is>
          <t>Total</t>
        </is>
      </c>
      <c r="D77" s="154" t="n"/>
      <c r="E77" s="154" t="n"/>
      <c r="F77" s="180" t="n"/>
      <c r="G77" s="2" t="n"/>
      <c r="H77" s="1" t="n"/>
      <c r="I77" s="1" t="n"/>
      <c r="J77" s="2" t="n"/>
      <c r="K77" s="1" t="n"/>
      <c r="L77" s="1" t="n"/>
      <c r="M77" s="2" t="n"/>
    </row>
    <row r="78">
      <c r="C78" s="154" t="inlineStr">
        <is>
          <t>Fijo</t>
        </is>
      </c>
      <c r="D78" s="154" t="inlineStr">
        <is>
          <t>Total</t>
        </is>
      </c>
      <c r="E78" s="154" t="n"/>
      <c r="F78" s="180" t="n"/>
      <c r="G78" s="180" t="n"/>
      <c r="H78" s="180" t="n"/>
      <c r="I78" s="180" t="n"/>
      <c r="J78" s="180" t="n"/>
      <c r="K78" s="180" t="n"/>
      <c r="L78" s="180" t="n"/>
      <c r="M78" s="180" t="n"/>
    </row>
    <row r="79">
      <c r="D79" s="154" t="inlineStr">
        <is>
          <t>1.1 BANCOS</t>
        </is>
      </c>
      <c r="E79" s="154" t="n"/>
      <c r="F79" s="180" t="n"/>
      <c r="G79" s="180" t="n"/>
      <c r="H79" s="180" t="n"/>
      <c r="I79" s="180" t="n"/>
      <c r="J79" s="180" t="n"/>
      <c r="K79" s="180" t="n"/>
      <c r="L79" s="180" t="n"/>
      <c r="M79" s="180" t="n"/>
    </row>
    <row r="80">
      <c r="E80" s="154" t="inlineStr">
        <is>
          <t>NMD_EECC</t>
        </is>
      </c>
      <c r="F80" s="180" t="n"/>
      <c r="G80" s="180" t="n"/>
      <c r="H80" s="180" t="n"/>
      <c r="I80" s="180" t="n"/>
      <c r="J80" s="180" t="n"/>
      <c r="K80" s="180" t="n"/>
      <c r="L80" s="180" t="n"/>
      <c r="M80" s="180" t="n"/>
    </row>
    <row r="81">
      <c r="D81" s="154" t="inlineStr">
        <is>
          <t>1.2 CARTERA MAYORISTA</t>
        </is>
      </c>
      <c r="E81" s="154" t="inlineStr">
        <is>
          <t>NMD_TS</t>
        </is>
      </c>
      <c r="F81" s="180" t="n"/>
      <c r="G81" s="180" t="n"/>
      <c r="H81" s="180" t="n"/>
      <c r="I81" s="180" t="n"/>
      <c r="J81" s="180" t="n"/>
      <c r="K81" s="180" t="n"/>
      <c r="L81" s="180" t="n"/>
      <c r="M81" s="180" t="n"/>
    </row>
    <row r="82">
      <c r="D82" s="154" t="inlineStr">
        <is>
          <t>1.3 DEPOSITOS OTRAS EECC</t>
        </is>
      </c>
      <c r="E82" s="154" t="n"/>
      <c r="F82" s="180" t="n"/>
      <c r="G82" s="180" t="n"/>
      <c r="H82" s="180" t="n"/>
      <c r="I82" s="180" t="n"/>
      <c r="J82" s="180" t="n"/>
      <c r="K82" s="180" t="n"/>
      <c r="L82" s="180" t="n"/>
      <c r="M82" s="180" t="n"/>
    </row>
    <row r="83">
      <c r="D83" s="154" t="inlineStr">
        <is>
          <t>1.4 INVERSION CREDITICIA</t>
        </is>
      </c>
      <c r="E83" s="154" t="n"/>
      <c r="F83" s="180" t="n"/>
      <c r="G83" s="180" t="n"/>
      <c r="H83" s="180" t="n"/>
      <c r="I83" s="180" t="n"/>
      <c r="J83" s="180" t="n"/>
      <c r="K83" s="180" t="n"/>
      <c r="L83" s="180" t="n"/>
      <c r="M83" s="180" t="n"/>
    </row>
    <row r="84">
      <c r="E84" s="154" t="n"/>
      <c r="F84" s="180" t="n"/>
      <c r="G84" s="180" t="n"/>
      <c r="H84" s="180" t="n"/>
      <c r="I84" s="180" t="n"/>
      <c r="J84" s="180" t="n"/>
      <c r="K84" s="180" t="n"/>
      <c r="L84" s="180" t="n"/>
      <c r="M84" s="180" t="n"/>
    </row>
    <row r="85">
      <c r="E85" s="154" t="inlineStr">
        <is>
          <t>NMD_DEU</t>
        </is>
      </c>
      <c r="F85" s="180" t="n"/>
      <c r="G85" s="180" t="n"/>
      <c r="H85" s="180" t="n"/>
      <c r="I85" s="180" t="n"/>
      <c r="J85" s="180" t="n"/>
      <c r="K85" s="180" t="n"/>
      <c r="L85" s="180" t="n"/>
      <c r="M85" s="180" t="n"/>
    </row>
    <row r="86">
      <c r="E86" s="154" t="inlineStr">
        <is>
          <t>NMD_MAY</t>
        </is>
      </c>
      <c r="F86" s="180" t="n"/>
      <c r="G86" s="180" t="n"/>
      <c r="H86" s="180" t="n"/>
      <c r="I86" s="180" t="n"/>
      <c r="J86" s="180" t="n"/>
      <c r="K86" s="180" t="n"/>
      <c r="L86" s="180" t="n"/>
      <c r="M86" s="180" t="n"/>
    </row>
    <row r="87">
      <c r="D87" s="154" t="inlineStr">
        <is>
          <t>1.5 RENTA FIJA</t>
        </is>
      </c>
      <c r="E87" s="154" t="inlineStr">
        <is>
          <t>NMD_MIN_NONTR</t>
        </is>
      </c>
      <c r="F87" s="180" t="n"/>
      <c r="G87" s="180" t="n"/>
      <c r="H87" s="180" t="n"/>
      <c r="I87" s="180" t="n"/>
      <c r="J87" s="180" t="n"/>
      <c r="K87" s="180" t="n"/>
      <c r="L87" s="180" t="n"/>
      <c r="M87" s="180" t="n"/>
    </row>
    <row r="88">
      <c r="D88" s="154" t="inlineStr">
        <is>
          <t>1.6 ACTIVOS DUDOSOS</t>
        </is>
      </c>
      <c r="E88" s="154" t="n"/>
      <c r="F88" s="180" t="n"/>
      <c r="G88" s="180" t="n"/>
      <c r="H88" s="180" t="n"/>
      <c r="I88" s="180" t="n"/>
      <c r="J88" s="180" t="n"/>
      <c r="K88" s="180" t="n"/>
      <c r="L88" s="180" t="n"/>
      <c r="M88" s="180" t="n"/>
    </row>
    <row r="89">
      <c r="D89" s="154" t="inlineStr">
        <is>
          <t>1.7 ACTIVOS NO SENSIBLE</t>
        </is>
      </c>
      <c r="E89" s="154" t="inlineStr">
        <is>
          <t>NMD_DUDOSOS</t>
        </is>
      </c>
      <c r="F89" s="180" t="n"/>
      <c r="G89" s="180" t="n"/>
      <c r="H89" s="180" t="n"/>
      <c r="I89" s="180" t="n"/>
      <c r="J89" s="180" t="n"/>
      <c r="K89" s="180" t="n"/>
      <c r="L89" s="180" t="n"/>
      <c r="M89" s="180" t="n"/>
    </row>
    <row r="90">
      <c r="C90" s="154" t="inlineStr">
        <is>
          <t>Variable</t>
        </is>
      </c>
      <c r="D90" s="154" t="inlineStr">
        <is>
          <t>Total</t>
        </is>
      </c>
      <c r="E90" s="154" t="n"/>
      <c r="F90" s="180" t="n"/>
      <c r="G90" s="180" t="n"/>
      <c r="H90" s="180" t="n"/>
      <c r="I90" s="180" t="n"/>
      <c r="J90" s="180" t="n"/>
      <c r="K90" s="180" t="n"/>
      <c r="L90" s="180" t="n"/>
      <c r="M90" s="180" t="n"/>
    </row>
    <row r="91">
      <c r="D91" s="154" t="inlineStr">
        <is>
          <t>1.1 BANCOS</t>
        </is>
      </c>
      <c r="E91" s="154" t="n"/>
      <c r="F91" s="180" t="n"/>
      <c r="G91" s="180" t="n"/>
      <c r="H91" s="180" t="n"/>
      <c r="I91" s="180" t="n"/>
      <c r="J91" s="180" t="n"/>
      <c r="K91" s="180" t="n"/>
      <c r="L91" s="180" t="n"/>
      <c r="M91" s="180" t="n"/>
    </row>
    <row r="92">
      <c r="D92" s="154" t="inlineStr">
        <is>
          <t>1.4 INVERSION CREDITICIA</t>
        </is>
      </c>
      <c r="E92" s="154" t="inlineStr">
        <is>
          <t>NMD_EECC</t>
        </is>
      </c>
      <c r="F92" s="180" t="n"/>
      <c r="G92" s="180" t="n"/>
      <c r="H92" s="180" t="n"/>
      <c r="I92" s="180" t="n"/>
      <c r="J92" s="180" t="n"/>
      <c r="K92" s="180" t="n"/>
      <c r="L92" s="180" t="n"/>
      <c r="M92" s="180" t="n"/>
    </row>
    <row r="93">
      <c r="B93" s="154" t="inlineStr">
        <is>
          <t>2. PASIVO</t>
        </is>
      </c>
      <c r="C93" s="154" t="inlineStr">
        <is>
          <t>Total</t>
        </is>
      </c>
      <c r="D93" s="154" t="n"/>
      <c r="E93" s="154" t="n"/>
      <c r="F93" s="180" t="n"/>
      <c r="G93" s="2" t="n"/>
      <c r="H93" s="1" t="n"/>
      <c r="I93" s="1" t="n"/>
      <c r="J93" s="2" t="n"/>
      <c r="K93" s="1" t="n"/>
      <c r="L93" s="1" t="n"/>
      <c r="M93" s="2" t="n"/>
    </row>
    <row r="94">
      <c r="C94" s="154" t="inlineStr">
        <is>
          <t>Fijo</t>
        </is>
      </c>
      <c r="D94" s="154" t="inlineStr">
        <is>
          <t>Total</t>
        </is>
      </c>
      <c r="E94" s="154" t="n"/>
      <c r="F94" s="192">
        <f>SUM(F95:F102)</f>
        <v/>
      </c>
      <c r="G94" s="18" t="n"/>
      <c r="H94" s="19" t="n"/>
      <c r="I94" s="19" t="n"/>
      <c r="J94" s="18" t="n"/>
      <c r="K94" s="19" t="n"/>
      <c r="L94" s="19" t="n"/>
      <c r="M94" s="18" t="n"/>
    </row>
    <row r="95">
      <c r="D95" s="154" t="n"/>
      <c r="E95" s="154" t="n"/>
      <c r="F95" s="180" t="n"/>
      <c r="G95" s="2" t="n"/>
      <c r="H95" s="1" t="n"/>
      <c r="I95" s="1" t="n"/>
      <c r="J95" s="2" t="n"/>
      <c r="K95" s="1" t="n"/>
      <c r="L95" s="1" t="n"/>
      <c r="M95" s="2" t="n"/>
    </row>
    <row r="96">
      <c r="E96" s="154" t="n"/>
      <c r="F96" s="180" t="n"/>
      <c r="G96" s="2" t="n"/>
      <c r="H96" s="1" t="n"/>
      <c r="I96" s="1" t="n"/>
      <c r="J96" s="2" t="n"/>
      <c r="K96" s="1" t="n"/>
      <c r="L96" s="1" t="n"/>
      <c r="M96" s="2" t="n"/>
      <c r="O96" s="144" t="inlineStr">
        <is>
          <t>Para ALCO F26,F27,F28</t>
        </is>
      </c>
    </row>
    <row r="97">
      <c r="D97" s="154" t="n"/>
      <c r="E97" s="154" t="n"/>
      <c r="F97" s="180" t="n"/>
      <c r="G97" s="2" t="n"/>
      <c r="H97" s="1" t="n"/>
      <c r="I97" s="1" t="n"/>
      <c r="J97" s="2" t="n"/>
      <c r="K97" s="1" t="n"/>
      <c r="L97" s="1" t="n"/>
      <c r="M97" s="2" t="n"/>
    </row>
    <row r="98">
      <c r="D98" s="158" t="inlineStr">
        <is>
          <t>2.3 DEPOSITOS A LA VISTA DE CLIENTES</t>
        </is>
      </c>
      <c r="E98" s="154" t="n"/>
      <c r="F98" s="193" t="n"/>
      <c r="G98" s="193" t="n"/>
      <c r="H98" s="194" t="n"/>
      <c r="I98" s="195" t="n"/>
      <c r="J98" s="96" t="n"/>
      <c r="K98" s="96" t="n"/>
      <c r="L98" s="96" t="n"/>
      <c r="M98" s="96" t="n"/>
      <c r="O98" s="183">
        <f>F98/1000000</f>
        <v/>
      </c>
      <c r="Q98" s="183" t="n"/>
    </row>
    <row r="99">
      <c r="D99" s="171" t="n"/>
      <c r="E99" s="174" t="inlineStr">
        <is>
          <t>NMD_MAY_NOFIN</t>
        </is>
      </c>
      <c r="F99" s="196" t="n">
        <v>36932866.79999992</v>
      </c>
      <c r="G99" s="196" t="n"/>
      <c r="H99" s="197" t="n">
        <v>1.435168579981452e-05</v>
      </c>
      <c r="I99" s="198" t="n">
        <v>1.435168579981452e-05</v>
      </c>
      <c r="J99" s="143" t="n"/>
      <c r="K99" s="143" t="n">
        <v>0</v>
      </c>
      <c r="L99" s="143" t="n">
        <v>0.0157594632666722</v>
      </c>
      <c r="M99" s="143" t="n">
        <v>1.623926871734732</v>
      </c>
      <c r="O99" s="183">
        <f>F99/1000000</f>
        <v/>
      </c>
      <c r="Q99" s="183" t="n"/>
    </row>
    <row r="100">
      <c r="D100" s="171" t="n"/>
      <c r="E100" s="174" t="inlineStr">
        <is>
          <t>NMD_MAY_FIN</t>
        </is>
      </c>
      <c r="F100" s="196" t="n">
        <v>2490287.65</v>
      </c>
      <c r="G100" s="196" t="n"/>
      <c r="H100" s="197" t="n">
        <v>0</v>
      </c>
      <c r="I100" s="198" t="n">
        <v>0</v>
      </c>
      <c r="J100" s="143" t="n"/>
      <c r="K100" s="143" t="n">
        <v>0</v>
      </c>
      <c r="L100" s="143" t="n">
        <v>0.0004075563796491796</v>
      </c>
      <c r="M100" s="143" t="n">
        <v>0.04166666666666666</v>
      </c>
      <c r="O100" s="183">
        <f>F100/1000000</f>
        <v/>
      </c>
      <c r="Q100" s="183" t="n"/>
    </row>
    <row r="101">
      <c r="D101" s="159" t="n"/>
      <c r="E101" s="154" t="inlineStr">
        <is>
          <t>NMD_MIN_NONTR</t>
        </is>
      </c>
      <c r="F101" s="196" t="n">
        <v>483758723.7599957</v>
      </c>
      <c r="G101" s="196" t="n"/>
      <c r="H101" s="197" t="n">
        <v>0.01893752233993271</v>
      </c>
      <c r="I101" s="198" t="n">
        <v>0.01842513153471186</v>
      </c>
      <c r="J101" s="143" t="n"/>
      <c r="K101" s="143" t="n">
        <v>0</v>
      </c>
      <c r="L101" s="143" t="n">
        <v>0.005417024306408904</v>
      </c>
      <c r="M101" s="143" t="n">
        <v>2.616982121237177</v>
      </c>
      <c r="O101" s="183">
        <f>F101/1000000</f>
        <v/>
      </c>
      <c r="Q101" s="183" t="n"/>
    </row>
    <row r="102">
      <c r="D102" s="154" t="n"/>
      <c r="E102" s="178" t="inlineStr">
        <is>
          <t>NMD_MIN_TR</t>
        </is>
      </c>
      <c r="F102" s="182" t="n">
        <v>246579548.930008</v>
      </c>
      <c r="G102" s="68" t="n"/>
      <c r="H102" s="59" t="n">
        <v>0.01747590123310347</v>
      </c>
      <c r="I102" s="59" t="n">
        <v>0.009850139658335774</v>
      </c>
      <c r="J102" s="68" t="n"/>
      <c r="K102" s="59" t="n">
        <v>0</v>
      </c>
      <c r="L102" s="59" t="n">
        <v>0.010784216112764</v>
      </c>
      <c r="M102" s="68" t="n">
        <v>4.067349125566077</v>
      </c>
      <c r="O102" s="183">
        <f>F102/1000000</f>
        <v/>
      </c>
    </row>
    <row r="103">
      <c r="C103" s="154" t="inlineStr">
        <is>
          <t>Variable</t>
        </is>
      </c>
      <c r="D103" s="178" t="inlineStr">
        <is>
          <t>Total</t>
        </is>
      </c>
      <c r="E103" s="154" t="n"/>
      <c r="F103" s="192">
        <f>SUM(F104:F105)</f>
        <v/>
      </c>
      <c r="G103" s="18" t="n"/>
      <c r="H103" s="19" t="n"/>
      <c r="I103" s="19" t="n"/>
      <c r="J103" s="18" t="n"/>
      <c r="K103" s="19" t="n"/>
      <c r="L103" s="19" t="n"/>
      <c r="M103" s="18" t="n"/>
    </row>
    <row r="104">
      <c r="D104" s="158" t="inlineStr">
        <is>
          <t>2.3 DEPOSITOS A LA VISTA DE CLIENTES</t>
        </is>
      </c>
      <c r="E104" s="178" t="n"/>
      <c r="F104" s="193" t="n"/>
      <c r="G104" s="28" t="n"/>
      <c r="H104" s="32" t="n"/>
      <c r="I104" s="29" t="n"/>
      <c r="J104" s="33" t="n"/>
      <c r="K104" s="29" t="n"/>
      <c r="L104" s="29" t="n"/>
      <c r="M104" s="30" t="n"/>
      <c r="O104" s="183">
        <f>F104/1000000</f>
        <v/>
      </c>
      <c r="Q104" s="183" t="n"/>
    </row>
    <row r="105">
      <c r="D105" s="159" t="n"/>
      <c r="E105" s="174" t="inlineStr">
        <is>
          <t>NMD_MIN_NONTR</t>
        </is>
      </c>
      <c r="F105" s="199" t="n"/>
      <c r="G105" s="23" t="n"/>
      <c r="I105" s="24" t="n"/>
      <c r="J105" s="34" t="n"/>
      <c r="K105" s="24" t="n"/>
      <c r="L105" s="24" t="n"/>
      <c r="M105" s="25" t="n"/>
      <c r="O105" s="183">
        <f>F105/1000000</f>
        <v/>
      </c>
      <c r="Q105" s="183" t="n"/>
    </row>
    <row r="106">
      <c r="E106" s="178" t="inlineStr">
        <is>
          <t>NMD_MIN_TR</t>
        </is>
      </c>
    </row>
    <row r="117">
      <c r="G117" s="53" t="n"/>
    </row>
    <row r="118">
      <c r="G118" s="53" t="n"/>
    </row>
    <row r="119">
      <c r="G119" s="53" t="n"/>
    </row>
    <row r="120">
      <c r="G120" s="53" t="n"/>
    </row>
  </sheetData>
  <mergeCells count="58">
    <mergeCell ref="F73:M73"/>
    <mergeCell ref="D53:D55"/>
    <mergeCell ref="R1:Y1"/>
    <mergeCell ref="B93:B105"/>
    <mergeCell ref="C94:C102"/>
    <mergeCell ref="O4:Q4"/>
    <mergeCell ref="P35:P40"/>
    <mergeCell ref="C5:D5"/>
    <mergeCell ref="C51:C55"/>
    <mergeCell ref="P20:P25"/>
    <mergeCell ref="B33:E33"/>
    <mergeCell ref="C59:C67"/>
    <mergeCell ref="C6:C13"/>
    <mergeCell ref="B19:B27"/>
    <mergeCell ref="C26:C27"/>
    <mergeCell ref="D45:D46"/>
    <mergeCell ref="B5:B18"/>
    <mergeCell ref="F74:M74"/>
    <mergeCell ref="F30:M30"/>
    <mergeCell ref="C20:C25"/>
    <mergeCell ref="D95:D96"/>
    <mergeCell ref="C78:C89"/>
    <mergeCell ref="D104:D105"/>
    <mergeCell ref="D66:D67"/>
    <mergeCell ref="E1:L1"/>
    <mergeCell ref="B34:B55"/>
    <mergeCell ref="P6:P13"/>
    <mergeCell ref="AH30:AL33"/>
    <mergeCell ref="P14:P18"/>
    <mergeCell ref="O5:O18"/>
    <mergeCell ref="B4:D4"/>
    <mergeCell ref="E2:L2"/>
    <mergeCell ref="D64:D65"/>
    <mergeCell ref="C14:C18"/>
    <mergeCell ref="O19:O27"/>
    <mergeCell ref="P19:Q19"/>
    <mergeCell ref="F31:M31"/>
    <mergeCell ref="C34:E34"/>
    <mergeCell ref="C103:C105"/>
    <mergeCell ref="P55:U55"/>
    <mergeCell ref="B77:B92"/>
    <mergeCell ref="B58:B69"/>
    <mergeCell ref="D98:D101"/>
    <mergeCell ref="C58:E58"/>
    <mergeCell ref="D79:D80"/>
    <mergeCell ref="D83:D86"/>
    <mergeCell ref="D39:D44"/>
    <mergeCell ref="P26:P27"/>
    <mergeCell ref="C19:D19"/>
    <mergeCell ref="D51:E51"/>
    <mergeCell ref="R2:Y2"/>
    <mergeCell ref="C90:C92"/>
    <mergeCell ref="C68:C69"/>
    <mergeCell ref="D48:D50"/>
    <mergeCell ref="P5:Q5"/>
    <mergeCell ref="C35:C50"/>
    <mergeCell ref="D59:E59"/>
    <mergeCell ref="D35:E3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5"/>
  <sheetViews>
    <sheetView tabSelected="1" topLeftCell="B60" zoomScale="115" zoomScaleNormal="115" workbookViewId="0">
      <selection activeCell="G75" sqref="G75:N81"/>
    </sheetView>
  </sheetViews>
  <sheetFormatPr baseColWidth="10" defaultColWidth="9.140625" defaultRowHeight="15"/>
  <cols>
    <col width="13.5703125" bestFit="1" customWidth="1" style="149" min="1" max="1"/>
    <col width="25.85546875" customWidth="1" style="149" min="2" max="2"/>
    <col width="38.85546875" bestFit="1" customWidth="1" style="149" min="3" max="3"/>
    <col width="24.85546875" customWidth="1" style="149" min="4" max="4"/>
    <col width="22.28515625" bestFit="1" customWidth="1" style="149" min="5" max="5"/>
    <col width="15.5703125" bestFit="1" customWidth="1" style="149" min="6" max="6"/>
    <col width="16.5703125" bestFit="1" customWidth="1" style="149" min="7" max="7"/>
    <col width="12.5703125" bestFit="1" customWidth="1" style="149" min="8" max="8"/>
    <col width="12.85546875" bestFit="1" customWidth="1" style="149" min="9" max="9"/>
    <col width="9.28515625" bestFit="1" customWidth="1" style="149" min="10" max="11"/>
    <col width="10" bestFit="1" customWidth="1" style="149" min="15" max="15"/>
    <col width="26" customWidth="1" style="149" min="16" max="16"/>
    <col width="33.42578125" bestFit="1" customWidth="1" style="149" min="17" max="17"/>
    <col width="15.42578125" bestFit="1" customWidth="1" style="149" min="18" max="18"/>
    <col width="8.42578125" bestFit="1" customWidth="1" style="149" min="19" max="19"/>
    <col width="10.85546875" bestFit="1" customWidth="1" style="149" min="20" max="20"/>
    <col width="11.28515625" bestFit="1" customWidth="1" style="149" min="21" max="21"/>
    <col width="12.5703125" bestFit="1" customWidth="1" style="149" min="22" max="22"/>
    <col width="9.5703125" bestFit="1" customWidth="1" style="149" min="23" max="23"/>
    <col width="12.5703125" bestFit="1" customWidth="1" style="149" min="24" max="24"/>
    <col width="34.42578125" bestFit="1" customWidth="1" style="149" min="30" max="30"/>
    <col width="15.140625" bestFit="1" customWidth="1" style="149" min="31" max="31"/>
    <col width="12" bestFit="1" customWidth="1" style="149" min="33" max="33"/>
    <col width="12.42578125" bestFit="1" customWidth="1" style="149" min="34" max="34"/>
    <col width="14.85546875" bestFit="1" customWidth="1" style="149" min="35" max="35"/>
    <col width="14.85546875" customWidth="1" style="149" min="38" max="38"/>
  </cols>
  <sheetData>
    <row r="1" ht="15.75" customHeight="1" s="149" thickBot="1">
      <c r="E1" s="148" t="inlineStr">
        <is>
          <t>Load Code</t>
        </is>
      </c>
      <c r="R1" s="148" t="inlineStr">
        <is>
          <t>Load Code</t>
        </is>
      </c>
      <c r="AA1" t="n">
        <v>1000000</v>
      </c>
    </row>
    <row r="2" ht="15.75" customHeight="1" s="149" thickBot="1">
      <c r="A2" s="9" t="inlineStr">
        <is>
          <t>JER BALANCE</t>
        </is>
      </c>
      <c r="E2" s="157" t="inlineStr">
        <is>
          <t>IRRBB</t>
        </is>
      </c>
      <c r="O2" s="74" t="n"/>
      <c r="P2" s="161" t="n"/>
      <c r="Q2" s="161" t="n"/>
      <c r="R2" s="177" t="inlineStr">
        <is>
          <t>IRRBB</t>
        </is>
      </c>
      <c r="S2" s="161" t="n"/>
      <c r="T2" s="161" t="n"/>
      <c r="U2" s="161" t="n"/>
      <c r="V2" s="161" t="n"/>
      <c r="W2" s="161" t="n"/>
      <c r="X2" s="161" t="n"/>
      <c r="Y2" s="161" t="n"/>
      <c r="Z2" s="162" t="n"/>
    </row>
    <row r="3">
      <c r="A3" s="6" t="inlineStr">
        <is>
          <t>01. JER. A&amp;P</t>
        </is>
      </c>
      <c r="B3" s="6" t="inlineStr">
        <is>
          <t>Variable_Fijo</t>
        </is>
      </c>
      <c r="C3" s="6" t="inlineStr">
        <is>
          <t>02. JER. BALANCE</t>
        </is>
      </c>
      <c r="D3" s="6" t="n"/>
      <c r="E3" s="157" t="inlineStr">
        <is>
          <t>Notional Today</t>
        </is>
      </c>
      <c r="F3" s="157" t="inlineStr">
        <is>
          <t>Vto medio</t>
        </is>
      </c>
      <c r="G3" s="157" t="inlineStr">
        <is>
          <t>Cupon medio</t>
        </is>
      </c>
      <c r="H3" s="157" t="inlineStr">
        <is>
          <t>Spread medio</t>
        </is>
      </c>
      <c r="I3" s="157" t="inlineStr">
        <is>
          <t>Reprecio medio</t>
        </is>
      </c>
      <c r="J3" s="157" t="inlineStr">
        <is>
          <t>Floor medio</t>
        </is>
      </c>
      <c r="K3" s="157" t="inlineStr">
        <is>
          <t>Dur. Efec. Pond</t>
        </is>
      </c>
      <c r="L3" s="157" t="inlineStr">
        <is>
          <t>Dur. Mac. Pond</t>
        </is>
      </c>
      <c r="O3" s="92" t="inlineStr">
        <is>
          <t>01. JER. A&amp;P</t>
        </is>
      </c>
      <c r="P3" s="6" t="inlineStr">
        <is>
          <t>Variable_Fijo</t>
        </is>
      </c>
      <c r="Q3" s="6" t="inlineStr">
        <is>
          <t>02. JER. BALANCE</t>
        </is>
      </c>
      <c r="R3" s="157" t="inlineStr">
        <is>
          <t>Notional Today</t>
        </is>
      </c>
      <c r="S3" s="157" t="inlineStr">
        <is>
          <t>Vto medio</t>
        </is>
      </c>
      <c r="T3" s="157" t="inlineStr">
        <is>
          <t>Cupon medio</t>
        </is>
      </c>
      <c r="U3" s="157" t="inlineStr">
        <is>
          <t>Spread medio</t>
        </is>
      </c>
      <c r="V3" s="157" t="inlineStr">
        <is>
          <t>Reprecio medio</t>
        </is>
      </c>
      <c r="W3" s="157" t="inlineStr">
        <is>
          <t>Floor medio</t>
        </is>
      </c>
      <c r="X3" s="157" t="inlineStr">
        <is>
          <t>Dur. Efec. Pond</t>
        </is>
      </c>
      <c r="Y3" s="157" t="inlineStr">
        <is>
          <t>Dur. Mac. Pond</t>
        </is>
      </c>
      <c r="Z3" s="165" t="n"/>
      <c r="AB3" s="74" t="inlineStr">
        <is>
          <t>01. JER. A&amp;P</t>
        </is>
      </c>
      <c r="AC3" s="161" t="inlineStr">
        <is>
          <t>Variable_Fijo</t>
        </is>
      </c>
      <c r="AD3" s="161" t="inlineStr">
        <is>
          <t>02. JER. BALANCE</t>
        </is>
      </c>
      <c r="AE3" s="161" t="inlineStr">
        <is>
          <t>Notional Today</t>
        </is>
      </c>
      <c r="AF3" s="161" t="inlineStr">
        <is>
          <t>Vto medio</t>
        </is>
      </c>
      <c r="AG3" s="161" t="inlineStr">
        <is>
          <t>Cupon medio</t>
        </is>
      </c>
      <c r="AH3" s="161" t="inlineStr">
        <is>
          <t>Spread medio</t>
        </is>
      </c>
      <c r="AI3" s="161" t="inlineStr">
        <is>
          <t>Reprecio medio</t>
        </is>
      </c>
      <c r="AJ3" s="161" t="inlineStr">
        <is>
          <t>Floor medio</t>
        </is>
      </c>
      <c r="AK3" s="161" t="inlineStr">
        <is>
          <t>Dur. Efec. Pond</t>
        </is>
      </c>
      <c r="AL3" s="162" t="inlineStr">
        <is>
          <t>Dur. Mac. Pond</t>
        </is>
      </c>
    </row>
    <row r="4">
      <c r="A4" s="154" t="inlineStr">
        <is>
          <t>Grand Total</t>
        </is>
      </c>
      <c r="E4" s="112" t="n"/>
      <c r="F4" s="2" t="n"/>
      <c r="G4" s="1" t="n"/>
      <c r="H4" s="1" t="n"/>
      <c r="I4" s="2" t="n"/>
      <c r="J4" s="1" t="n"/>
      <c r="K4" s="1" t="n"/>
      <c r="L4" s="2" t="n"/>
      <c r="O4" s="172" t="inlineStr">
        <is>
          <t>Grand Total</t>
        </is>
      </c>
      <c r="R4" s="180">
        <f>E4</f>
        <v/>
      </c>
      <c r="S4" s="180">
        <f>F4</f>
        <v/>
      </c>
      <c r="T4" s="180">
        <f>G4</f>
        <v/>
      </c>
      <c r="U4" s="180">
        <f>H4</f>
        <v/>
      </c>
      <c r="V4" s="180">
        <f>I4</f>
        <v/>
      </c>
      <c r="W4" s="180">
        <f>J4</f>
        <v/>
      </c>
      <c r="X4" s="180">
        <f>K4</f>
        <v/>
      </c>
      <c r="Y4" s="180">
        <f>L4</f>
        <v/>
      </c>
      <c r="Z4" s="165" t="n"/>
      <c r="AB4" s="163" t="inlineStr">
        <is>
          <t>Grand Total</t>
        </is>
      </c>
      <c r="AE4" s="183" t="n"/>
      <c r="AF4" s="184" t="n"/>
      <c r="AG4" s="164" t="n"/>
      <c r="AH4" s="164" t="n"/>
      <c r="AJ4" s="164" t="n"/>
      <c r="AL4" s="165" t="n"/>
    </row>
    <row r="5">
      <c r="A5" s="173" t="inlineStr">
        <is>
          <t>1. ACTIVO</t>
        </is>
      </c>
      <c r="B5" s="154" t="inlineStr">
        <is>
          <t>Total</t>
        </is>
      </c>
      <c r="E5" s="112" t="n"/>
      <c r="F5" s="2" t="n"/>
      <c r="G5" s="1" t="n"/>
      <c r="H5" s="1" t="n"/>
      <c r="I5" s="2" t="n"/>
      <c r="J5" s="1" t="n"/>
      <c r="K5" s="1" t="n"/>
      <c r="L5" s="2" t="n"/>
      <c r="O5" s="172" t="inlineStr">
        <is>
          <t>1. ACTIVO</t>
        </is>
      </c>
      <c r="P5" s="154" t="inlineStr">
        <is>
          <t>Total</t>
        </is>
      </c>
      <c r="R5" s="180">
        <f>E5</f>
        <v/>
      </c>
      <c r="S5" s="180">
        <f>F5</f>
        <v/>
      </c>
      <c r="T5" s="180">
        <f>G5</f>
        <v/>
      </c>
      <c r="U5" s="180">
        <f>H5</f>
        <v/>
      </c>
      <c r="V5" s="180">
        <f>I5</f>
        <v/>
      </c>
      <c r="W5" s="180">
        <f>J5</f>
        <v/>
      </c>
      <c r="X5" s="180">
        <f>K5</f>
        <v/>
      </c>
      <c r="Y5" s="180">
        <f>L5</f>
        <v/>
      </c>
      <c r="Z5" s="165" t="n"/>
      <c r="AB5" s="163" t="inlineStr">
        <is>
          <t>1. ACTIVO</t>
        </is>
      </c>
      <c r="AC5" t="inlineStr">
        <is>
          <t>Total</t>
        </is>
      </c>
      <c r="AE5" s="183" t="n"/>
      <c r="AF5" s="184" t="n"/>
      <c r="AG5" s="164" t="n"/>
      <c r="AH5" s="164" t="n"/>
      <c r="AJ5" s="164" t="n"/>
      <c r="AL5" s="165" t="n"/>
    </row>
    <row r="6">
      <c r="A6" s="173" t="inlineStr">
        <is>
          <t>1. ACTIVO</t>
        </is>
      </c>
      <c r="B6" s="173" t="inlineStr">
        <is>
          <t>Fijo</t>
        </is>
      </c>
      <c r="C6" s="154" t="inlineStr">
        <is>
          <t>Total</t>
        </is>
      </c>
      <c r="D6" s="154" t="n"/>
      <c r="E6" s="200" t="n"/>
      <c r="F6" s="200" t="n"/>
      <c r="G6" s="200" t="n"/>
      <c r="H6" s="200" t="n"/>
      <c r="I6" s="200" t="n"/>
      <c r="J6" s="200" t="n"/>
      <c r="K6" s="200" t="n"/>
      <c r="L6" s="200" t="n"/>
      <c r="O6" s="163" t="n"/>
      <c r="P6" s="154" t="inlineStr">
        <is>
          <t>Fijo</t>
        </is>
      </c>
      <c r="Q6" s="154" t="inlineStr">
        <is>
          <t>Total</t>
        </is>
      </c>
      <c r="R6" s="180">
        <f>E6</f>
        <v/>
      </c>
      <c r="S6" s="180">
        <f>F6</f>
        <v/>
      </c>
      <c r="T6" s="180">
        <f>G6</f>
        <v/>
      </c>
      <c r="U6" s="180">
        <f>H6</f>
        <v/>
      </c>
      <c r="V6" s="180">
        <f>I6</f>
        <v/>
      </c>
      <c r="W6" s="180">
        <f>J6</f>
        <v/>
      </c>
      <c r="X6" s="180">
        <f>K6</f>
        <v/>
      </c>
      <c r="Y6" s="180">
        <f>L6</f>
        <v/>
      </c>
      <c r="Z6" s="165" t="n"/>
      <c r="AB6" s="163" t="n"/>
      <c r="AC6" t="inlineStr">
        <is>
          <t>Fijo</t>
        </is>
      </c>
      <c r="AD6" t="inlineStr">
        <is>
          <t>Total</t>
        </is>
      </c>
      <c r="AE6" s="183" t="n"/>
      <c r="AF6" s="184" t="n"/>
      <c r="AG6" s="164" t="n"/>
      <c r="AH6" s="164" t="n"/>
      <c r="AJ6" s="164" t="n"/>
      <c r="AL6" s="165" t="n"/>
    </row>
    <row r="7">
      <c r="A7" s="173" t="inlineStr">
        <is>
          <t>1. ACTIVO</t>
        </is>
      </c>
      <c r="C7" s="154" t="inlineStr">
        <is>
          <t>1.2 CARTERA MAYORISTA</t>
        </is>
      </c>
      <c r="D7" s="154" t="n"/>
      <c r="E7" s="180" t="n">
        <v>93530497.56999999</v>
      </c>
      <c r="F7" s="180" t="n">
        <v>0.1956520255292953</v>
      </c>
      <c r="G7" s="180" t="n">
        <v>0.0213</v>
      </c>
      <c r="H7" s="180" t="n">
        <v/>
      </c>
      <c r="I7" s="180" t="n">
        <v/>
      </c>
      <c r="J7" s="180" t="n">
        <v>-1</v>
      </c>
      <c r="K7" s="180" t="n">
        <v>0.0001594704011969116</v>
      </c>
      <c r="L7" s="180" t="n">
        <v>0.01630433546077461</v>
      </c>
      <c r="M7" s="14" t="n"/>
      <c r="O7" s="163" t="n"/>
      <c r="Q7" s="154" t="inlineStr">
        <is>
          <t>1.2 CARTERA MAYORISTA</t>
        </is>
      </c>
      <c r="R7" s="180">
        <f>+E7</f>
        <v/>
      </c>
      <c r="S7" s="180">
        <f>+F7</f>
        <v/>
      </c>
      <c r="T7" s="180">
        <f>+G7</f>
        <v/>
      </c>
      <c r="U7" s="180">
        <f>+H7</f>
        <v/>
      </c>
      <c r="V7" s="180">
        <f>+I7</f>
        <v/>
      </c>
      <c r="W7" s="180">
        <f>+J7</f>
        <v/>
      </c>
      <c r="X7" s="180">
        <f>+K7</f>
        <v/>
      </c>
      <c r="Y7" s="180">
        <f>+L7</f>
        <v/>
      </c>
      <c r="Z7" s="165" t="n"/>
      <c r="AB7" s="163" t="n"/>
      <c r="AD7" t="inlineStr">
        <is>
          <t>1.2 CARTERA MAYORISTA</t>
        </is>
      </c>
      <c r="AE7" s="183">
        <f>R7/$AA$1</f>
        <v/>
      </c>
      <c r="AF7" s="184">
        <f>S7</f>
        <v/>
      </c>
      <c r="AG7" s="164">
        <f>T7</f>
        <v/>
      </c>
      <c r="AH7" s="164">
        <f>U7</f>
        <v/>
      </c>
      <c r="AI7">
        <f>V7</f>
        <v/>
      </c>
      <c r="AJ7" s="88">
        <f>W7</f>
        <v/>
      </c>
      <c r="AK7">
        <f>X7</f>
        <v/>
      </c>
      <c r="AL7" s="165">
        <f>Y7</f>
        <v/>
      </c>
    </row>
    <row r="8">
      <c r="A8" s="173" t="inlineStr">
        <is>
          <t>1. ACTIVO</t>
        </is>
      </c>
      <c r="C8" s="154" t="inlineStr">
        <is>
          <t>1.3 DEPOSITOS OTRAS EECC</t>
        </is>
      </c>
      <c r="D8" s="154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4" t="n"/>
      <c r="O8" s="163" t="n"/>
      <c r="Q8" s="154">
        <f>C8</f>
        <v/>
      </c>
      <c r="R8" s="180">
        <f>E8</f>
        <v/>
      </c>
      <c r="S8" s="180">
        <f>F8</f>
        <v/>
      </c>
      <c r="T8" s="180">
        <f>G8</f>
        <v/>
      </c>
      <c r="U8" s="180">
        <f>H8</f>
        <v/>
      </c>
      <c r="V8" s="180">
        <f>I8</f>
        <v/>
      </c>
      <c r="W8" s="180">
        <f>J8</f>
        <v/>
      </c>
      <c r="X8" s="180">
        <f>K8</f>
        <v/>
      </c>
      <c r="Y8" s="180">
        <f>L8</f>
        <v/>
      </c>
      <c r="Z8" s="165" t="n"/>
      <c r="AB8" s="163" t="n"/>
      <c r="AD8" t="inlineStr">
        <is>
          <t>1.3 DEPOSITOS OTRAS EECC</t>
        </is>
      </c>
      <c r="AE8" s="183">
        <f>R8/$AA$1</f>
        <v/>
      </c>
      <c r="AF8" s="184">
        <f>S8</f>
        <v/>
      </c>
      <c r="AG8" s="164">
        <f>T8</f>
        <v/>
      </c>
      <c r="AH8" s="164">
        <f>U8</f>
        <v/>
      </c>
      <c r="AI8">
        <f>V8</f>
        <v/>
      </c>
      <c r="AJ8" s="164">
        <f>W8</f>
        <v/>
      </c>
      <c r="AK8">
        <f>X8</f>
        <v/>
      </c>
      <c r="AL8" s="165">
        <f>Y8</f>
        <v/>
      </c>
    </row>
    <row r="9">
      <c r="A9" s="173" t="inlineStr">
        <is>
          <t>1. ACTIVO</t>
        </is>
      </c>
      <c r="C9" s="154" t="inlineStr">
        <is>
          <t>1.4 INVERSION CREDITICIA</t>
        </is>
      </c>
      <c r="D9" s="154" t="n"/>
      <c r="E9" s="106" t="n">
        <v>24263528.86</v>
      </c>
      <c r="F9" s="2" t="n">
        <v>5.058176947157113</v>
      </c>
      <c r="G9" s="1" t="n">
        <v>0.04391214573225109</v>
      </c>
      <c r="H9" s="1" t="n">
        <v>0.02268821966937911</v>
      </c>
      <c r="I9" s="2" t="n">
        <v/>
      </c>
      <c r="J9" s="1" t="n">
        <v>0</v>
      </c>
      <c r="K9" s="1" t="n">
        <v>0.003669044984254399</v>
      </c>
      <c r="L9" s="2" t="n">
        <v>0.3741727895102154</v>
      </c>
      <c r="O9" s="163" t="n"/>
      <c r="Q9" s="67" t="inlineStr">
        <is>
          <t>1.4 INVERSION CREDITICIA</t>
        </is>
      </c>
      <c r="R9" s="185">
        <f>E9</f>
        <v/>
      </c>
      <c r="S9" s="185">
        <f>F9</f>
        <v/>
      </c>
      <c r="T9" s="185">
        <f>G9</f>
        <v/>
      </c>
      <c r="U9" s="185">
        <f>H9</f>
        <v/>
      </c>
      <c r="V9" s="185">
        <f>I9</f>
        <v/>
      </c>
      <c r="W9" s="185">
        <f>J9</f>
        <v/>
      </c>
      <c r="X9" s="185">
        <f>K9</f>
        <v/>
      </c>
      <c r="Y9" s="185">
        <f>L9</f>
        <v/>
      </c>
      <c r="Z9" s="165" t="n"/>
      <c r="AB9" s="163" t="n"/>
      <c r="AD9" t="inlineStr">
        <is>
          <t>1.4 INVERSION CREDITICIA</t>
        </is>
      </c>
      <c r="AE9" s="183">
        <f>R9/$AA$1</f>
        <v/>
      </c>
      <c r="AF9" s="184">
        <f>S9</f>
        <v/>
      </c>
      <c r="AG9" s="164">
        <f>T9</f>
        <v/>
      </c>
      <c r="AH9" s="201">
        <f>U9</f>
        <v/>
      </c>
      <c r="AI9">
        <f>V9</f>
        <v/>
      </c>
      <c r="AJ9" s="164">
        <f>W9</f>
        <v/>
      </c>
      <c r="AK9">
        <f>X9</f>
        <v/>
      </c>
      <c r="AL9" s="165">
        <f>Y9</f>
        <v/>
      </c>
    </row>
    <row r="10">
      <c r="A10" s="173" t="inlineStr">
        <is>
          <t>1. ACTIVO</t>
        </is>
      </c>
      <c r="C10" s="154" t="inlineStr">
        <is>
          <t>1.5 RENTA FIJA</t>
        </is>
      </c>
      <c r="D10" s="154" t="n"/>
      <c r="E10" s="106" t="n">
        <v>80000000</v>
      </c>
      <c r="F10" s="2" t="n">
        <v>2.166666666666667</v>
      </c>
      <c r="G10" s="1" t="n">
        <v>0</v>
      </c>
      <c r="H10" s="1" t="n">
        <v/>
      </c>
      <c r="I10" s="2" t="n">
        <v/>
      </c>
      <c r="J10" s="1" t="n">
        <v>-1</v>
      </c>
      <c r="K10" s="1" t="n">
        <v>0.001766430750053003</v>
      </c>
      <c r="L10" s="2" t="n">
        <v>0.1805555555555556</v>
      </c>
      <c r="O10" s="163" t="n"/>
      <c r="Q10" s="154" t="inlineStr">
        <is>
          <t>1.5 RENTA FIJA</t>
        </is>
      </c>
      <c r="R10" s="182">
        <f>+E10</f>
        <v/>
      </c>
      <c r="S10" s="182">
        <f>+F10</f>
        <v/>
      </c>
      <c r="T10" s="182">
        <f>+G10</f>
        <v/>
      </c>
      <c r="U10" s="182">
        <f>+H10</f>
        <v/>
      </c>
      <c r="V10" s="182">
        <f>+I10</f>
        <v/>
      </c>
      <c r="W10" s="182">
        <f>+J10</f>
        <v/>
      </c>
      <c r="X10" s="182">
        <f>+K10</f>
        <v/>
      </c>
      <c r="Y10" s="182">
        <f>+L10</f>
        <v/>
      </c>
      <c r="Z10" s="165" t="n"/>
      <c r="AB10" s="163" t="n"/>
      <c r="AD10" t="inlineStr">
        <is>
          <t>1.5 RENTA FIJA</t>
        </is>
      </c>
      <c r="AE10" s="183">
        <f>R10/$AA$1</f>
        <v/>
      </c>
      <c r="AF10" s="184">
        <f>S10</f>
        <v/>
      </c>
      <c r="AG10" s="88">
        <f>T10</f>
        <v/>
      </c>
      <c r="AH10" s="164">
        <f>U10</f>
        <v/>
      </c>
      <c r="AI10">
        <f>V10</f>
        <v/>
      </c>
      <c r="AJ10" s="88">
        <f>W10</f>
        <v/>
      </c>
      <c r="AK10">
        <f>X10</f>
        <v/>
      </c>
      <c r="AL10" s="165">
        <f>Y10</f>
        <v/>
      </c>
    </row>
    <row r="11">
      <c r="A11" s="173" t="inlineStr">
        <is>
          <t>1. ACTIVO</t>
        </is>
      </c>
      <c r="C11" s="154" t="inlineStr">
        <is>
          <t>1.6  ACTIVOS DUDOSOS</t>
        </is>
      </c>
      <c r="D11" s="154" t="n"/>
      <c r="E11" s="106" t="n">
        <v>1748389.72883</v>
      </c>
      <c r="F11" s="2" t="n">
        <v/>
      </c>
      <c r="G11" s="1" t="n">
        <v>0.0474</v>
      </c>
      <c r="H11" s="1" t="n">
        <v/>
      </c>
      <c r="I11" s="2" t="n">
        <v/>
      </c>
      <c r="J11" s="1" t="n">
        <v>0</v>
      </c>
      <c r="K11" s="1" t="n">
        <v>0.01770219596530892</v>
      </c>
      <c r="L11" s="2" t="n">
        <v>1.804260822357503</v>
      </c>
      <c r="O11" s="163" t="n"/>
      <c r="Q11" s="154" t="inlineStr">
        <is>
          <t>1.6 ACTIVOS DUDOSOS</t>
        </is>
      </c>
      <c r="R11" s="182">
        <f>+E11</f>
        <v/>
      </c>
      <c r="S11" s="182">
        <f>+F11</f>
        <v/>
      </c>
      <c r="T11" s="182">
        <f>+G11</f>
        <v/>
      </c>
      <c r="U11" s="182">
        <f>+H11</f>
        <v/>
      </c>
      <c r="V11" s="182">
        <f>+I11</f>
        <v/>
      </c>
      <c r="W11" s="182">
        <f>+J11</f>
        <v/>
      </c>
      <c r="X11" s="182">
        <f>+K11</f>
        <v/>
      </c>
      <c r="Y11" s="182">
        <f>+L11</f>
        <v/>
      </c>
      <c r="Z11" s="165" t="n"/>
      <c r="AB11" s="163" t="n"/>
      <c r="AD11" t="inlineStr">
        <is>
          <t>1.6 ACTIVOS DUDOSOS</t>
        </is>
      </c>
      <c r="AE11" s="183">
        <f>R11/$AA$1</f>
        <v/>
      </c>
      <c r="AF11" s="184">
        <f>S11</f>
        <v/>
      </c>
      <c r="AG11" s="88">
        <f>T11</f>
        <v/>
      </c>
      <c r="AH11" s="164">
        <f>U11</f>
        <v/>
      </c>
      <c r="AI11">
        <f>V11</f>
        <v/>
      </c>
      <c r="AJ11" s="88">
        <f>W11</f>
        <v/>
      </c>
      <c r="AK11">
        <f>X11</f>
        <v/>
      </c>
      <c r="AL11" s="165">
        <f>Y11</f>
        <v/>
      </c>
    </row>
    <row r="12">
      <c r="A12" s="173" t="inlineStr">
        <is>
          <t>1. ACTIVO</t>
        </is>
      </c>
      <c r="C12" s="154" t="inlineStr">
        <is>
          <t>1.7  ACTIVO NO SENSIBLE</t>
        </is>
      </c>
      <c r="D12" s="154" t="n"/>
      <c r="E12" s="112" t="n"/>
      <c r="F12" s="2" t="n"/>
      <c r="G12" s="1" t="n"/>
      <c r="H12" s="1" t="n"/>
      <c r="I12" s="2" t="n"/>
      <c r="J12" s="1" t="n"/>
      <c r="K12" s="1" t="n"/>
      <c r="L12" s="2" t="n"/>
      <c r="O12" s="163" t="n"/>
      <c r="Q12" s="154" t="n"/>
      <c r="R12" s="180" t="n"/>
      <c r="S12" s="180" t="n"/>
      <c r="T12" s="1" t="n"/>
      <c r="U12" s="14" t="n"/>
      <c r="V12" s="180" t="n"/>
      <c r="W12" s="14" t="n"/>
      <c r="X12" s="14" t="n"/>
      <c r="Y12" s="180" t="n"/>
      <c r="Z12" s="165" t="n"/>
      <c r="AB12" s="163" t="n"/>
      <c r="AE12" s="183" t="n"/>
      <c r="AF12" s="184" t="n"/>
      <c r="AG12" s="88" t="n"/>
      <c r="AH12" s="164" t="n"/>
      <c r="AJ12" s="88" t="n"/>
      <c r="AL12" s="165" t="n"/>
    </row>
    <row r="13">
      <c r="A13" s="173" t="inlineStr">
        <is>
          <t>1. ACTIVO</t>
        </is>
      </c>
      <c r="B13" s="154" t="inlineStr">
        <is>
          <t>Variable</t>
        </is>
      </c>
      <c r="C13" s="154" t="inlineStr">
        <is>
          <t>Total</t>
        </is>
      </c>
      <c r="D13" s="154" t="n"/>
      <c r="E13" s="112" t="n"/>
      <c r="F13" s="2" t="n"/>
      <c r="G13" s="1" t="n"/>
      <c r="H13" s="1" t="n"/>
      <c r="I13" s="2" t="n"/>
      <c r="J13" s="1" t="n"/>
      <c r="K13" s="1" t="n"/>
      <c r="L13" s="2" t="n"/>
      <c r="O13" s="163" t="n"/>
      <c r="P13" s="154" t="inlineStr">
        <is>
          <t>Variable</t>
        </is>
      </c>
      <c r="Q13" s="154" t="inlineStr">
        <is>
          <t>Total</t>
        </is>
      </c>
      <c r="R13" s="180">
        <f>E13</f>
        <v/>
      </c>
      <c r="S13" s="180">
        <f>F13</f>
        <v/>
      </c>
      <c r="T13" s="180">
        <f>G13</f>
        <v/>
      </c>
      <c r="U13" s="180">
        <f>H13</f>
        <v/>
      </c>
      <c r="V13" s="180">
        <f>I13</f>
        <v/>
      </c>
      <c r="W13" s="180">
        <f>J13</f>
        <v/>
      </c>
      <c r="X13" s="180">
        <f>K13</f>
        <v/>
      </c>
      <c r="Y13" s="180">
        <f>L13</f>
        <v/>
      </c>
      <c r="Z13" s="165" t="n"/>
      <c r="AB13" s="163" t="n"/>
      <c r="AC13" t="inlineStr">
        <is>
          <t>Variable</t>
        </is>
      </c>
      <c r="AD13" t="inlineStr">
        <is>
          <t>Total</t>
        </is>
      </c>
      <c r="AE13" s="183" t="n"/>
      <c r="AF13" s="184" t="n"/>
      <c r="AG13" s="164" t="n"/>
      <c r="AH13" s="164" t="n"/>
      <c r="AJ13" s="164" t="n"/>
      <c r="AL13" s="165" t="n"/>
    </row>
    <row r="14">
      <c r="A14" s="173" t="n"/>
      <c r="C14" s="154" t="inlineStr">
        <is>
          <t>1.4 INVERSION CREDITICIA</t>
        </is>
      </c>
      <c r="D14" s="154" t="n"/>
      <c r="E14" s="112" t="n">
        <v>75124028</v>
      </c>
      <c r="F14" s="2" t="n">
        <v>108.1744746953664</v>
      </c>
      <c r="G14" s="1" t="n">
        <v>0.04350343622921816</v>
      </c>
      <c r="H14" s="1" t="n">
        <v>0.02275738629856216</v>
      </c>
      <c r="I14" s="2" t="n">
        <v>99.33570029152324</v>
      </c>
      <c r="J14" s="1" t="n">
        <v>0.02303912827996923</v>
      </c>
      <c r="K14" s="1" t="n">
        <v>0.009840857238232244</v>
      </c>
      <c r="L14" s="2" t="n">
        <v>3.090114728144152</v>
      </c>
      <c r="O14" s="163" t="n"/>
      <c r="Q14" s="154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65" t="n"/>
      <c r="AB14" s="163" t="n"/>
      <c r="AE14" s="183" t="n"/>
      <c r="AF14" s="184" t="n"/>
      <c r="AG14" s="164" t="n"/>
      <c r="AH14" s="164" t="n"/>
      <c r="AJ14" s="164" t="n"/>
      <c r="AL14" s="165" t="n"/>
    </row>
    <row r="15">
      <c r="A15" s="173" t="inlineStr">
        <is>
          <t>1. ACTIVO</t>
        </is>
      </c>
      <c r="C15" s="100" t="inlineStr">
        <is>
          <t>1.5 ACTIVOS DUDOSOS</t>
        </is>
      </c>
      <c r="O15" s="163" t="n"/>
      <c r="Q15" s="67" t="inlineStr">
        <is>
          <t>1.4 INVERSION CREDITICIA</t>
        </is>
      </c>
      <c r="R15" s="185">
        <f>E14</f>
        <v/>
      </c>
      <c r="S15" s="185">
        <f>F14</f>
        <v/>
      </c>
      <c r="T15" s="133">
        <f>G14</f>
        <v/>
      </c>
      <c r="U15" s="133">
        <f>H14</f>
        <v/>
      </c>
      <c r="V15" s="185">
        <f>I14</f>
        <v/>
      </c>
      <c r="W15" s="185">
        <f>J14</f>
        <v/>
      </c>
      <c r="X15" s="185">
        <f>K14</f>
        <v/>
      </c>
      <c r="Y15" s="185">
        <f>L14</f>
        <v/>
      </c>
      <c r="Z15" s="165" t="n"/>
      <c r="AB15" s="163" t="n"/>
      <c r="AD15" t="inlineStr">
        <is>
          <t>1.4 INVERSION CREDITICIA</t>
        </is>
      </c>
      <c r="AE15" s="183">
        <f>R15/$AA$1</f>
        <v/>
      </c>
      <c r="AF15" s="184">
        <f>S15</f>
        <v/>
      </c>
      <c r="AG15" s="164">
        <f>T15</f>
        <v/>
      </c>
      <c r="AH15" s="164">
        <f>U15</f>
        <v/>
      </c>
      <c r="AI15" s="53">
        <f>V15</f>
        <v/>
      </c>
      <c r="AJ15" s="164">
        <f>W15</f>
        <v/>
      </c>
      <c r="AK15">
        <f>X15</f>
        <v/>
      </c>
      <c r="AL15" s="165">
        <f>Y15</f>
        <v/>
      </c>
    </row>
    <row r="16">
      <c r="A16" s="173" t="inlineStr">
        <is>
          <t>2. PASIVO</t>
        </is>
      </c>
      <c r="B16" s="154" t="inlineStr">
        <is>
          <t>Total</t>
        </is>
      </c>
      <c r="E16" s="112" t="n"/>
      <c r="F16" s="2" t="n"/>
      <c r="G16" s="1" t="n"/>
      <c r="H16" s="1" t="n"/>
      <c r="I16" s="2" t="n"/>
      <c r="J16" s="1" t="n"/>
      <c r="K16" s="1" t="n"/>
      <c r="L16" s="2" t="n"/>
      <c r="O16" s="172" t="inlineStr">
        <is>
          <t>2. PASIVO</t>
        </is>
      </c>
      <c r="P16" s="154" t="inlineStr">
        <is>
          <t>Total</t>
        </is>
      </c>
      <c r="R16" s="180">
        <f>E16</f>
        <v/>
      </c>
      <c r="S16" s="180">
        <f>F19</f>
        <v/>
      </c>
      <c r="T16" s="14">
        <f>G19</f>
        <v/>
      </c>
      <c r="U16" s="14">
        <f>H19</f>
        <v/>
      </c>
      <c r="V16" s="180">
        <f>I19</f>
        <v/>
      </c>
      <c r="W16" s="14">
        <f>J19</f>
        <v/>
      </c>
      <c r="X16" s="14">
        <f>K19</f>
        <v/>
      </c>
      <c r="Y16" s="180">
        <f>L19</f>
        <v/>
      </c>
      <c r="Z16" s="165" t="n"/>
      <c r="AB16" s="163" t="inlineStr">
        <is>
          <t>2. PASIVO</t>
        </is>
      </c>
      <c r="AC16" t="inlineStr">
        <is>
          <t>Total</t>
        </is>
      </c>
      <c r="AE16" s="183" t="n"/>
      <c r="AF16" s="184" t="n"/>
      <c r="AG16" s="164" t="n"/>
      <c r="AH16" s="164" t="n"/>
      <c r="AJ16" s="164" t="n"/>
      <c r="AL16" s="165" t="n"/>
    </row>
    <row r="17">
      <c r="A17" s="173" t="inlineStr">
        <is>
          <t>2. PASIVO</t>
        </is>
      </c>
      <c r="B17" s="154" t="inlineStr">
        <is>
          <t>Fijo</t>
        </is>
      </c>
      <c r="C17" s="154" t="inlineStr">
        <is>
          <t>Total</t>
        </is>
      </c>
      <c r="D17" s="154" t="n"/>
      <c r="E17" s="112" t="n"/>
      <c r="F17" s="2" t="n"/>
      <c r="G17" s="1" t="n"/>
      <c r="H17" s="1" t="n"/>
      <c r="I17" s="2" t="n"/>
      <c r="J17" s="1" t="n"/>
      <c r="K17" s="1" t="n"/>
      <c r="L17" s="2" t="n"/>
      <c r="O17" s="163" t="n"/>
      <c r="P17" s="154" t="inlineStr">
        <is>
          <t>Fijo</t>
        </is>
      </c>
      <c r="Q17" s="154" t="inlineStr">
        <is>
          <t>Total</t>
        </is>
      </c>
      <c r="R17" s="180">
        <f>E17</f>
        <v/>
      </c>
      <c r="S17" s="180">
        <f>F17</f>
        <v/>
      </c>
      <c r="T17" s="180">
        <f>G17</f>
        <v/>
      </c>
      <c r="U17" s="14">
        <f>H17</f>
        <v/>
      </c>
      <c r="V17" s="180">
        <f>I17</f>
        <v/>
      </c>
      <c r="W17" s="180">
        <f>J17</f>
        <v/>
      </c>
      <c r="X17" s="14">
        <f>K17</f>
        <v/>
      </c>
      <c r="Y17" s="180">
        <f>L17</f>
        <v/>
      </c>
      <c r="Z17" s="165" t="n"/>
      <c r="AB17" s="163" t="n"/>
      <c r="AC17" t="inlineStr">
        <is>
          <t>Fijo</t>
        </is>
      </c>
      <c r="AD17" t="inlineStr">
        <is>
          <t>Total</t>
        </is>
      </c>
      <c r="AE17" s="183" t="n"/>
      <c r="AF17" s="184" t="n"/>
      <c r="AG17" s="164" t="n"/>
      <c r="AH17" s="164" t="n"/>
      <c r="AJ17" s="164" t="n"/>
      <c r="AL17" s="165" t="n"/>
    </row>
    <row r="18">
      <c r="A18" s="173" t="inlineStr">
        <is>
          <t>2. PASIVO</t>
        </is>
      </c>
      <c r="C18" s="154" t="inlineStr">
        <is>
          <t>2.2 DEPOSITOS A PLAZO DE CLIENTES</t>
        </is>
      </c>
      <c r="D18" s="154" t="n"/>
      <c r="E18" s="112" t="n">
        <v>340609273.23145</v>
      </c>
      <c r="F18" s="2" t="n">
        <v>4.249155575476051</v>
      </c>
      <c r="G18" s="1" t="n">
        <v>0.02618992876638498</v>
      </c>
      <c r="H18" s="1" t="n">
        <v>0.02132318840842585</v>
      </c>
      <c r="I18" s="2" t="n">
        <v/>
      </c>
      <c r="J18" s="1" t="n">
        <v>0</v>
      </c>
      <c r="K18" s="1" t="n">
        <v>0.003434829418477624</v>
      </c>
      <c r="L18" s="2" t="n">
        <v>0.3506469631940223</v>
      </c>
      <c r="O18" s="163" t="n"/>
      <c r="Q18" s="154" t="inlineStr">
        <is>
          <t>2.2 DEPOSITOS A PLAZO DE CLIENTES</t>
        </is>
      </c>
      <c r="R18" s="180">
        <f>E18</f>
        <v/>
      </c>
      <c r="S18" s="180">
        <f>F18</f>
        <v/>
      </c>
      <c r="T18" s="180">
        <f>G18</f>
        <v/>
      </c>
      <c r="U18" s="14">
        <f>H18</f>
        <v/>
      </c>
      <c r="V18" s="180">
        <f>I18</f>
        <v/>
      </c>
      <c r="W18" s="180">
        <f>J18</f>
        <v/>
      </c>
      <c r="X18" s="14">
        <f>K18</f>
        <v/>
      </c>
      <c r="Y18" s="180">
        <f>L18</f>
        <v/>
      </c>
      <c r="Z18" s="165" t="n"/>
      <c r="AB18" s="163" t="n"/>
      <c r="AD18" t="inlineStr">
        <is>
          <t>2.2 DEPOSITOS A PLAZO DE CLIENTES</t>
        </is>
      </c>
      <c r="AE18" s="183">
        <f>R18/$AA$1</f>
        <v/>
      </c>
      <c r="AF18" s="184">
        <f>S18</f>
        <v/>
      </c>
      <c r="AG18" s="164">
        <f>T18</f>
        <v/>
      </c>
      <c r="AH18" s="88">
        <f>U18</f>
        <v/>
      </c>
      <c r="AI18" s="184">
        <f>V18</f>
        <v/>
      </c>
      <c r="AJ18" s="164">
        <f>W18</f>
        <v/>
      </c>
      <c r="AK18">
        <f>X18</f>
        <v/>
      </c>
      <c r="AL18" s="165">
        <f>Y18</f>
        <v/>
      </c>
    </row>
    <row r="19">
      <c r="A19" s="173" t="inlineStr">
        <is>
          <t>2. PASIVO</t>
        </is>
      </c>
      <c r="C19" s="154" t="inlineStr">
        <is>
          <t>2.3 DEPOSITOS A LA VISTA DE CLIENTES</t>
        </is>
      </c>
      <c r="D19" s="154" t="n"/>
      <c r="E19" s="112" t="n">
        <v>4851374.04000001</v>
      </c>
      <c r="F19" s="2" t="n">
        <v/>
      </c>
      <c r="G19" s="1" t="n">
        <v>0</v>
      </c>
      <c r="H19" s="1" t="n">
        <v>0</v>
      </c>
      <c r="I19" s="2" t="n">
        <v/>
      </c>
      <c r="J19" s="1" t="n">
        <v>0</v>
      </c>
      <c r="K19" s="1" t="n">
        <v>0.01641831441417292</v>
      </c>
      <c r="L19" s="2" t="n">
        <v>1.6920600208742</v>
      </c>
      <c r="O19" s="163" t="n"/>
      <c r="Q19" s="154" t="inlineStr">
        <is>
          <t>2.3 DEPOSITOS A LA VISTA DE CLIENTES</t>
        </is>
      </c>
      <c r="R19" s="180">
        <f>+E19</f>
        <v/>
      </c>
      <c r="S19" s="180">
        <f>+F19</f>
        <v/>
      </c>
      <c r="T19" s="180">
        <f>+G19</f>
        <v/>
      </c>
      <c r="U19" s="14">
        <f>+H19</f>
        <v/>
      </c>
      <c r="V19" s="180">
        <f>+I19</f>
        <v/>
      </c>
      <c r="W19" s="180">
        <f>+J19</f>
        <v/>
      </c>
      <c r="X19" s="14">
        <f>+K19</f>
        <v/>
      </c>
      <c r="Y19" s="180">
        <f>+L19</f>
        <v/>
      </c>
      <c r="Z19" s="165" t="n"/>
      <c r="AB19" s="163" t="n"/>
      <c r="AD19" t="inlineStr">
        <is>
          <t>2.3 DEPOSITOS A LA VISTA DE CLIENTES</t>
        </is>
      </c>
      <c r="AE19" s="183">
        <f>R19/$AA$1</f>
        <v/>
      </c>
      <c r="AF19" s="183">
        <f>S19/$AA$1</f>
        <v/>
      </c>
      <c r="AG19" s="164">
        <f>T19</f>
        <v/>
      </c>
      <c r="AH19" s="88">
        <f>U19/$AA$1</f>
        <v/>
      </c>
      <c r="AI19" s="183" t="n"/>
      <c r="AJ19" s="183">
        <f>W19/$AA$1</f>
        <v/>
      </c>
      <c r="AK19" s="183">
        <f>X19/$AA$1</f>
        <v/>
      </c>
      <c r="AL19" s="183">
        <f>Y19/$AA$1</f>
        <v/>
      </c>
    </row>
    <row r="20">
      <c r="A20" s="173" t="inlineStr">
        <is>
          <t>2. PASIVO</t>
        </is>
      </c>
      <c r="C20" s="100" t="inlineStr">
        <is>
          <t>2.5 CARTERA MAYORISTA</t>
        </is>
      </c>
      <c r="D20" s="100" t="n"/>
      <c r="E20" s="180" t="n">
        <v>10941673.15</v>
      </c>
      <c r="F20" s="180" t="n">
        <v/>
      </c>
      <c r="G20" s="180" t="n">
        <v>0.02162633365629277</v>
      </c>
      <c r="H20" s="180" t="n">
        <v>0.01327313344211895</v>
      </c>
      <c r="I20" s="180" t="n">
        <v/>
      </c>
      <c r="J20" s="180" t="n">
        <v>0</v>
      </c>
      <c r="K20" s="180" t="n">
        <v>0.003927780762227153</v>
      </c>
      <c r="L20" s="180" t="n">
        <v>2.70773550254352</v>
      </c>
      <c r="O20" s="163" t="n"/>
      <c r="Q20" s="154" t="inlineStr">
        <is>
          <t>2.3 CARTERA MAYORISTA</t>
        </is>
      </c>
      <c r="R20" s="180">
        <f>E20</f>
        <v/>
      </c>
      <c r="S20" s="180">
        <f>F20</f>
        <v/>
      </c>
      <c r="T20" s="180">
        <f>G20</f>
        <v/>
      </c>
      <c r="U20" s="180">
        <f>H20</f>
        <v/>
      </c>
      <c r="V20" s="180">
        <f>I20</f>
        <v/>
      </c>
      <c r="W20" s="180">
        <f>J20</f>
        <v/>
      </c>
      <c r="X20" s="180">
        <f>K20</f>
        <v/>
      </c>
      <c r="Y20" s="180">
        <f>L20</f>
        <v/>
      </c>
      <c r="Z20" s="165" t="n"/>
      <c r="AB20" s="163" t="n"/>
      <c r="AD20" t="inlineStr">
        <is>
          <t>2.5 CARTERA MAYORISTA</t>
        </is>
      </c>
      <c r="AE20" s="183">
        <f>R20/$AA$1</f>
        <v/>
      </c>
      <c r="AF20" s="183">
        <f>S20</f>
        <v/>
      </c>
      <c r="AG20" s="164">
        <f>T20</f>
        <v/>
      </c>
      <c r="AH20" s="183">
        <f>U20/$AA$1</f>
        <v/>
      </c>
      <c r="AI20" s="183">
        <f>V20/$AA$1</f>
        <v/>
      </c>
      <c r="AJ20" s="183">
        <f>W20/$AA$1</f>
        <v/>
      </c>
      <c r="AK20" s="183">
        <f>X20/$AA$1</f>
        <v/>
      </c>
      <c r="AL20" s="183">
        <f>Y20/$AA$1</f>
        <v/>
      </c>
    </row>
    <row r="21">
      <c r="A21" s="173" t="inlineStr">
        <is>
          <t>2. PASIVO</t>
        </is>
      </c>
      <c r="B21" s="154" t="inlineStr">
        <is>
          <t>Variable</t>
        </is>
      </c>
      <c r="C21" s="154" t="inlineStr">
        <is>
          <t>Total</t>
        </is>
      </c>
      <c r="D21" s="154" t="n"/>
      <c r="E21" s="180" t="n">
        <v>10941673.15000001</v>
      </c>
      <c r="F21" s="180" t="n"/>
      <c r="G21" s="180" t="n">
        <v>0.02162633365629276</v>
      </c>
      <c r="H21" s="180" t="n">
        <v>0.01327313344211895</v>
      </c>
      <c r="I21" s="180" t="n"/>
      <c r="J21" s="180" t="n">
        <v>0</v>
      </c>
      <c r="K21" s="180" t="n">
        <v>0.003927780762227153</v>
      </c>
      <c r="L21" s="180" t="n">
        <v>2.707735502543517</v>
      </c>
      <c r="O21" s="163" t="n"/>
      <c r="P21" s="154" t="inlineStr">
        <is>
          <t>Variable</t>
        </is>
      </c>
      <c r="Q21" s="154" t="inlineStr">
        <is>
          <t>Total</t>
        </is>
      </c>
      <c r="R21" s="180">
        <f>+E21</f>
        <v/>
      </c>
      <c r="S21" s="180">
        <f>+F21</f>
        <v/>
      </c>
      <c r="T21" s="180">
        <f>+G21</f>
        <v/>
      </c>
      <c r="U21" s="180">
        <f>+H21</f>
        <v/>
      </c>
      <c r="V21" s="180">
        <f>+I21</f>
        <v/>
      </c>
      <c r="W21" s="180">
        <f>+J21</f>
        <v/>
      </c>
      <c r="X21" s="180">
        <f>+K21</f>
        <v/>
      </c>
      <c r="Y21" s="180">
        <f>+L21</f>
        <v/>
      </c>
      <c r="Z21" s="165" t="n"/>
      <c r="AB21" s="163" t="n"/>
      <c r="AC21" t="inlineStr">
        <is>
          <t>Variable</t>
        </is>
      </c>
      <c r="AD21" t="inlineStr">
        <is>
          <t>Total</t>
        </is>
      </c>
      <c r="AE21" s="183" t="n"/>
      <c r="AF21" s="184" t="n"/>
      <c r="AG21" s="164" t="n"/>
      <c r="AH21" s="164" t="n"/>
      <c r="AJ21" s="164" t="n"/>
      <c r="AL21" s="165" t="n"/>
    </row>
    <row r="22" ht="15.75" customHeight="1" s="149" thickBot="1">
      <c r="A22" s="173" t="inlineStr">
        <is>
          <t>2. PASIVO</t>
        </is>
      </c>
      <c r="C22" s="154" t="inlineStr">
        <is>
          <t>2.3 DEPOSITOS A LA VISTA DE CLIENTES</t>
        </is>
      </c>
      <c r="D22" s="154" t="n"/>
      <c r="E22" s="180" t="n">
        <v>57147.1034999995</v>
      </c>
      <c r="F22" s="180" t="n">
        <v>6.605703654604297</v>
      </c>
      <c r="G22" s="14" t="n">
        <v>0</v>
      </c>
      <c r="H22" s="14" t="n">
        <v>0</v>
      </c>
      <c r="I22" s="86" t="n">
        <v/>
      </c>
      <c r="J22" s="14" t="n">
        <v>0</v>
      </c>
      <c r="K22" s="14" t="n">
        <v>0.01818674717334335</v>
      </c>
      <c r="L22" s="107" t="n">
        <v>0.5504753045505241</v>
      </c>
      <c r="O22" s="163" t="n"/>
      <c r="Q22" s="154" t="inlineStr">
        <is>
          <t>2.3 DEPOSITOS A LA VISTA DE CLIENTES</t>
        </is>
      </c>
      <c r="R22" s="180">
        <f>+E22</f>
        <v/>
      </c>
      <c r="S22" s="180">
        <f>+F22</f>
        <v/>
      </c>
      <c r="T22" s="180">
        <f>+G22</f>
        <v/>
      </c>
      <c r="U22" s="180">
        <f>+H22</f>
        <v/>
      </c>
      <c r="V22" s="180">
        <f>+I22</f>
        <v/>
      </c>
      <c r="W22" s="180">
        <f>+J22</f>
        <v/>
      </c>
      <c r="X22" s="180">
        <f>+K22</f>
        <v/>
      </c>
      <c r="Y22" s="180">
        <f>+L22</f>
        <v/>
      </c>
      <c r="Z22" s="165" t="n"/>
      <c r="AB22" s="166" t="n"/>
      <c r="AC22" s="167" t="n"/>
      <c r="AD22" s="167" t="inlineStr">
        <is>
          <t>2.3 DEPOSITOS A LA VISTA DE CLIENTES</t>
        </is>
      </c>
      <c r="AE22" s="202">
        <f>R22/$AA$1</f>
        <v/>
      </c>
      <c r="AF22" s="203">
        <f>S22</f>
        <v/>
      </c>
      <c r="AG22" s="91">
        <f>T22</f>
        <v/>
      </c>
      <c r="AH22" s="91">
        <f>U22</f>
        <v/>
      </c>
      <c r="AI22" s="167">
        <f>V22</f>
        <v/>
      </c>
      <c r="AJ22" s="83">
        <f>W22</f>
        <v/>
      </c>
      <c r="AK22" s="167">
        <f>X22</f>
        <v/>
      </c>
      <c r="AL22" s="168">
        <f>Y22</f>
        <v/>
      </c>
    </row>
    <row r="23">
      <c r="O23" s="163" t="n"/>
      <c r="Z23" s="165" t="n"/>
      <c r="AF23" s="160" t="inlineStr">
        <is>
          <t>ESTA TABLA SE UTILIZA PARA RELLENAR EL ALCO</t>
        </is>
      </c>
      <c r="AG23" s="161" t="n"/>
      <c r="AH23" s="161" t="n"/>
      <c r="AI23" s="161" t="n"/>
      <c r="AJ23" s="162" t="n"/>
    </row>
    <row r="24">
      <c r="G24" s="183" t="n"/>
      <c r="H24" s="183" t="n"/>
      <c r="O24" s="163" t="n"/>
      <c r="Z24" s="165" t="n"/>
      <c r="AF24" s="163" t="n"/>
      <c r="AJ24" s="165" t="n"/>
    </row>
    <row r="25">
      <c r="F25" s="148" t="inlineStr">
        <is>
          <t>Load Code</t>
        </is>
      </c>
      <c r="O25" s="163" t="n"/>
      <c r="Q25" s="184">
        <f>R9+R15</f>
        <v/>
      </c>
      <c r="R25" s="183" t="n"/>
      <c r="Z25" s="165" t="n"/>
      <c r="AF25" s="163" t="n"/>
      <c r="AJ25" s="165" t="n"/>
    </row>
    <row r="26" ht="15.75" customHeight="1" s="149" thickBot="1">
      <c r="A26" s="9" t="inlineStr">
        <is>
          <t>JER PRODUCTO</t>
        </is>
      </c>
      <c r="F26" s="157" t="inlineStr">
        <is>
          <t>IRRBB</t>
        </is>
      </c>
      <c r="O26" s="163" t="n"/>
      <c r="P26" s="65" t="inlineStr">
        <is>
          <t>Diferencia vs. Izquierda</t>
        </is>
      </c>
      <c r="Q26" s="184">
        <f>+Q25-E14-E9</f>
        <v/>
      </c>
      <c r="Z26" s="165" t="n"/>
      <c r="AF26" s="166" t="n"/>
      <c r="AG26" s="167" t="n"/>
      <c r="AH26" s="167" t="n"/>
      <c r="AI26" s="167" t="n"/>
      <c r="AJ26" s="168" t="n"/>
    </row>
    <row r="27">
      <c r="A27" s="6" t="inlineStr">
        <is>
          <t>01. JER. A&amp;P</t>
        </is>
      </c>
      <c r="B27" s="6" t="inlineStr">
        <is>
          <t>Variable_Fijo</t>
        </is>
      </c>
      <c r="C27" s="6" t="inlineStr">
        <is>
          <t>02. JER. BALANCE</t>
        </is>
      </c>
      <c r="D27" s="6" t="n"/>
      <c r="E27" s="6" t="inlineStr">
        <is>
          <t>01. JER. PRODUCTO</t>
        </is>
      </c>
      <c r="F27" s="157" t="inlineStr">
        <is>
          <t>Notional Today</t>
        </is>
      </c>
      <c r="G27" s="157" t="inlineStr">
        <is>
          <t>Vto medio</t>
        </is>
      </c>
      <c r="H27" s="157" t="inlineStr">
        <is>
          <t>Cupon medio</t>
        </is>
      </c>
      <c r="I27" s="157" t="inlineStr">
        <is>
          <t>Spread medio</t>
        </is>
      </c>
      <c r="J27" s="157" t="inlineStr">
        <is>
          <t>Reprecio medio</t>
        </is>
      </c>
      <c r="K27" s="157" t="inlineStr">
        <is>
          <t>Floor medio</t>
        </is>
      </c>
      <c r="L27" s="157" t="inlineStr">
        <is>
          <t>Dur. Efec. Pond</t>
        </is>
      </c>
      <c r="M27" s="157" t="inlineStr">
        <is>
          <t>Dur. Mac. Pond</t>
        </is>
      </c>
      <c r="O27" s="163" t="n"/>
      <c r="R27" t="inlineStr">
        <is>
          <t>Notional Today</t>
        </is>
      </c>
      <c r="S27" s="157" t="inlineStr">
        <is>
          <t>Vto medio</t>
        </is>
      </c>
      <c r="T27" s="157" t="inlineStr">
        <is>
          <t>Cupon medio</t>
        </is>
      </c>
      <c r="U27" s="157" t="inlineStr">
        <is>
          <t>Spread medio</t>
        </is>
      </c>
      <c r="V27" s="157" t="inlineStr">
        <is>
          <t>Reprecio medio</t>
        </is>
      </c>
      <c r="W27" s="157" t="inlineStr">
        <is>
          <t>Floor medio</t>
        </is>
      </c>
      <c r="X27" s="157" t="n"/>
      <c r="Y27" s="157" t="n"/>
      <c r="Z27" s="165" t="n"/>
    </row>
    <row r="28">
      <c r="A28" s="154" t="inlineStr">
        <is>
          <t>Grand Total</t>
        </is>
      </c>
      <c r="F28" s="112" t="n"/>
      <c r="G28" s="2" t="n"/>
      <c r="H28" s="1" t="n"/>
      <c r="I28" s="1" t="n"/>
      <c r="J28" s="2" t="n"/>
      <c r="K28" s="1" t="n"/>
      <c r="L28" s="1" t="n"/>
      <c r="M28" s="2" t="n"/>
      <c r="O28" s="93" t="inlineStr">
        <is>
          <t>FIJO</t>
        </is>
      </c>
      <c r="P28" s="154" t="inlineStr">
        <is>
          <t>1.4 INVERSION CREDITICIA</t>
        </is>
      </c>
      <c r="Q28" s="67" t="inlineStr">
        <is>
          <t>ACTIVO CORTO PLAZO</t>
        </is>
      </c>
      <c r="R28" s="182">
        <f>+F33</f>
        <v/>
      </c>
      <c r="S28" s="68" t="n">
        <v>8.666666666666666</v>
      </c>
      <c r="T28" s="59" t="n">
        <v>0</v>
      </c>
      <c r="U28" s="59" t="n">
        <v>0.05662578945172195</v>
      </c>
      <c r="V28" s="68" t="n">
        <v>0</v>
      </c>
      <c r="W28" s="59" t="n">
        <v>0</v>
      </c>
      <c r="X28" s="1" t="n"/>
      <c r="Y28" s="2" t="n"/>
      <c r="Z28" s="165" t="n"/>
    </row>
    <row r="29">
      <c r="A29" s="154" t="inlineStr">
        <is>
          <t>1. ACTIVO</t>
        </is>
      </c>
      <c r="B29" s="178" t="inlineStr">
        <is>
          <t>Total</t>
        </is>
      </c>
      <c r="C29" s="151" t="n"/>
      <c r="D29" s="151" t="n"/>
      <c r="E29" s="151" t="n"/>
      <c r="F29" s="112" t="n"/>
      <c r="G29" s="2" t="n"/>
      <c r="H29" s="1" t="n"/>
      <c r="I29" s="1" t="n"/>
      <c r="J29" s="2" t="n"/>
      <c r="K29" s="1" t="n"/>
      <c r="L29" s="1" t="n"/>
      <c r="M29" s="2" t="n"/>
      <c r="O29" s="163" t="n"/>
      <c r="Q29" s="154" t="inlineStr">
        <is>
          <t>ANTICIPO NOMINA</t>
        </is>
      </c>
      <c r="R29" s="180">
        <f>+F34</f>
        <v/>
      </c>
      <c r="S29" s="180">
        <f>G34</f>
        <v/>
      </c>
      <c r="T29" s="180">
        <f>H34</f>
        <v/>
      </c>
      <c r="U29" s="180">
        <f>I34</f>
        <v/>
      </c>
      <c r="V29" s="180">
        <f>J34</f>
        <v/>
      </c>
      <c r="W29" s="180">
        <f>K34</f>
        <v/>
      </c>
      <c r="X29" s="1" t="n"/>
      <c r="Y29" s="2" t="n"/>
      <c r="Z29" s="165" t="n"/>
    </row>
    <row r="30">
      <c r="B30" s="158" t="inlineStr">
        <is>
          <t>Fijo</t>
        </is>
      </c>
      <c r="C30" s="158" t="inlineStr">
        <is>
          <t>Total</t>
        </is>
      </c>
      <c r="D30" s="176" t="n"/>
      <c r="E30" s="176" t="n"/>
      <c r="F30" s="115" t="n"/>
      <c r="G30" s="116" t="n"/>
      <c r="H30" s="117" t="n"/>
      <c r="I30" s="117" t="n"/>
      <c r="J30" s="116" t="n"/>
      <c r="K30" s="117" t="n"/>
      <c r="L30" s="117" t="n"/>
      <c r="M30" s="118" t="n"/>
      <c r="O30" s="163" t="n"/>
      <c r="Q30" s="154" t="inlineStr">
        <is>
          <t>CREDITOS</t>
        </is>
      </c>
      <c r="R30" s="180">
        <f>F35</f>
        <v/>
      </c>
      <c r="S30" s="180">
        <f>G35</f>
        <v/>
      </c>
      <c r="T30" s="180">
        <f>H35</f>
        <v/>
      </c>
      <c r="U30" s="180">
        <f>I35</f>
        <v/>
      </c>
      <c r="V30" s="180">
        <f>J35</f>
        <v/>
      </c>
      <c r="W30" s="180">
        <f>K35</f>
        <v/>
      </c>
      <c r="X30" s="1" t="n"/>
      <c r="Y30" s="2" t="n"/>
      <c r="Z30" s="165" t="n"/>
      <c r="AD30" s="99" t="inlineStr">
        <is>
          <t>COMENTARIO: Para la parte fija se pone el vencimiento y para la parte variable, la columna de stock se rellena con reprecio y la de nuevos con el vencimiento de lo nuevo.</t>
        </is>
      </c>
    </row>
    <row r="31">
      <c r="B31" s="171" t="n"/>
      <c r="C31" s="154" t="inlineStr">
        <is>
          <t>1.2 CARTERA MAYORISTA</t>
        </is>
      </c>
      <c r="D31" s="154" t="n"/>
      <c r="E31" s="154" t="inlineStr">
        <is>
          <t>ATA</t>
        </is>
      </c>
      <c r="F31" s="112" t="n"/>
      <c r="G31" s="2" t="n"/>
      <c r="H31" s="1" t="n"/>
      <c r="I31" s="1" t="n"/>
      <c r="J31" s="2" t="n"/>
      <c r="K31" s="1" t="n"/>
      <c r="L31" s="1" t="n"/>
      <c r="M31" s="2" t="n"/>
      <c r="O31" s="163" t="n"/>
      <c r="Q31" s="154" t="inlineStr">
        <is>
          <t>DESCUBIERTOS</t>
        </is>
      </c>
      <c r="R31" s="180">
        <f>F36</f>
        <v/>
      </c>
      <c r="S31" s="180">
        <f>G36</f>
        <v/>
      </c>
      <c r="T31" s="180">
        <f>H36</f>
        <v/>
      </c>
      <c r="U31" s="180">
        <f>I36</f>
        <v/>
      </c>
      <c r="V31" s="180">
        <f>J36</f>
        <v/>
      </c>
      <c r="W31" s="180">
        <f>K36</f>
        <v/>
      </c>
      <c r="X31" s="1" t="n"/>
      <c r="Y31" s="2" t="n"/>
      <c r="Z31" s="165" t="n"/>
    </row>
    <row r="32">
      <c r="B32" s="171" t="n"/>
      <c r="C32" s="154" t="inlineStr">
        <is>
          <t>1.3 DEPOSITOS OTRAS EECC</t>
        </is>
      </c>
      <c r="D32" s="154" t="n"/>
      <c r="E32" s="154" t="inlineStr">
        <is>
          <t>A_Depositos cedidos</t>
        </is>
      </c>
      <c r="F32" s="180" t="n"/>
      <c r="G32" s="2" t="n"/>
      <c r="H32" s="1" t="n"/>
      <c r="I32" s="95" t="n"/>
      <c r="J32" s="2" t="n"/>
      <c r="K32" s="1" t="n"/>
      <c r="L32" s="1" t="n"/>
      <c r="M32" s="20" t="n"/>
      <c r="O32" s="163" t="n"/>
      <c r="Q32" s="154" t="inlineStr">
        <is>
          <t>PRESTAMOS</t>
        </is>
      </c>
      <c r="R32" s="180">
        <f>F37</f>
        <v/>
      </c>
      <c r="S32" s="180">
        <f>G37</f>
        <v/>
      </c>
      <c r="T32" s="180">
        <f>H37</f>
        <v/>
      </c>
      <c r="U32" s="180">
        <f>I37</f>
        <v/>
      </c>
      <c r="V32" s="180">
        <f>J37</f>
        <v/>
      </c>
      <c r="W32" s="180">
        <f>K37</f>
        <v/>
      </c>
      <c r="X32" s="1" t="n"/>
      <c r="Y32" s="2" t="n"/>
      <c r="Z32" s="165" t="n"/>
    </row>
    <row r="33">
      <c r="B33" s="171" t="n"/>
      <c r="C33" s="158" t="inlineStr">
        <is>
          <t>1.4 INVERSION CREDITICIA</t>
        </is>
      </c>
      <c r="D33" s="174" t="n"/>
      <c r="E33" s="174" t="inlineStr">
        <is>
          <t>ACTIVO CORTO PLAZO</t>
        </is>
      </c>
      <c r="F33" s="122" t="n">
        <v>23807094.19</v>
      </c>
      <c r="G33" s="28" t="n">
        <v>4.199219741161252</v>
      </c>
      <c r="H33" s="29" t="n">
        <v>0.04319938217306647</v>
      </c>
      <c r="I33" s="29" t="n">
        <v>0.02156854278527135</v>
      </c>
      <c r="J33" s="28" t="n">
        <v/>
      </c>
      <c r="K33" s="29" t="n">
        <v>0</v>
      </c>
      <c r="L33" s="29" t="n">
        <v>0.003431610359586921</v>
      </c>
      <c r="M33" s="30" t="n">
        <v>0.3499427837513524</v>
      </c>
      <c r="O33" s="163" t="n"/>
      <c r="Q33" t="inlineStr">
        <is>
          <t>TARJETAS CREDITO</t>
        </is>
      </c>
      <c r="R33" s="105">
        <f>+F38</f>
        <v/>
      </c>
      <c r="S33" s="180">
        <f>G38</f>
        <v/>
      </c>
      <c r="T33" s="180">
        <f>H38</f>
        <v/>
      </c>
      <c r="U33" s="180">
        <f>I38</f>
        <v/>
      </c>
      <c r="V33" s="180">
        <f>J38</f>
        <v/>
      </c>
      <c r="W33" s="180">
        <f>K38</f>
        <v/>
      </c>
      <c r="X33" s="1" t="n"/>
      <c r="Y33" s="2" t="n"/>
      <c r="Z33" s="165" t="n"/>
    </row>
    <row r="34">
      <c r="B34" s="171" t="n"/>
      <c r="C34" s="171" t="n"/>
      <c r="D34" s="154" t="n"/>
      <c r="E34" s="154" t="inlineStr">
        <is>
          <t>ANTICIPO NOMINA</t>
        </is>
      </c>
      <c r="F34" s="106" t="n">
        <v>384.46</v>
      </c>
      <c r="G34" s="2" t="n">
        <v>11.73333333333333</v>
      </c>
      <c r="H34" s="1" t="n">
        <v>0</v>
      </c>
      <c r="I34" s="1" t="n">
        <v>0</v>
      </c>
      <c r="J34" s="2" t="n">
        <v/>
      </c>
      <c r="K34" s="1" t="n">
        <v>0</v>
      </c>
      <c r="L34" s="1" t="n">
        <v>0.009193034487431537</v>
      </c>
      <c r="M34" s="20" t="n">
        <v>0.9384897358208502</v>
      </c>
      <c r="O34" s="163" t="n"/>
      <c r="Z34" s="165" t="n"/>
    </row>
    <row r="35">
      <c r="B35" s="171" t="n"/>
      <c r="C35" s="171" t="n"/>
      <c r="D35" s="154" t="n"/>
      <c r="E35" s="100" t="inlineStr">
        <is>
          <t>DESCUBIERTOS</t>
        </is>
      </c>
      <c r="F35" s="145" t="n"/>
      <c r="G35" s="146" t="n"/>
      <c r="H35" s="146" t="n"/>
      <c r="I35" s="146" t="n"/>
      <c r="J35" s="146" t="n"/>
      <c r="K35" s="146" t="n"/>
      <c r="L35" s="146" t="n"/>
      <c r="M35" s="146" t="n"/>
      <c r="O35" s="163" t="n"/>
      <c r="Q35" s="154" t="inlineStr">
        <is>
          <t>ACTIVOS DUDOSOS</t>
        </is>
      </c>
      <c r="R35" s="204">
        <f>F39</f>
        <v/>
      </c>
      <c r="S35" s="204">
        <f>G39</f>
        <v/>
      </c>
      <c r="T35" s="204">
        <f>H39</f>
        <v/>
      </c>
      <c r="U35" s="204">
        <f>I39</f>
        <v/>
      </c>
      <c r="V35" s="204">
        <f>J39</f>
        <v/>
      </c>
      <c r="W35" s="204">
        <f>K39</f>
        <v/>
      </c>
      <c r="Z35" s="165" t="n"/>
    </row>
    <row r="36">
      <c r="B36" s="171" t="n"/>
      <c r="C36" s="171" t="n"/>
      <c r="E36" s="154" t="inlineStr">
        <is>
          <t>PRESTAMOS</t>
        </is>
      </c>
      <c r="F36" s="106" t="n">
        <v>4127.11</v>
      </c>
      <c r="G36" s="2" t="n">
        <v/>
      </c>
      <c r="H36" s="1" t="n">
        <v>0</v>
      </c>
      <c r="I36" s="1" t="n">
        <v>0</v>
      </c>
      <c r="J36" s="2" t="n">
        <v/>
      </c>
      <c r="K36" s="1" t="n">
        <v>0</v>
      </c>
      <c r="L36" s="1" t="n">
        <v>0.01575901848017432</v>
      </c>
      <c r="M36" s="20" t="n">
        <v>1.623881188770903</v>
      </c>
      <c r="O36" s="163" t="n"/>
      <c r="Z36" s="165" t="n"/>
    </row>
    <row r="37">
      <c r="B37" s="171" t="n"/>
      <c r="C37" s="171" t="n"/>
      <c r="E37" s="154" t="inlineStr">
        <is>
          <t>TARJETAS CREDITO</t>
        </is>
      </c>
      <c r="F37" s="106" t="n">
        <v>176.33</v>
      </c>
      <c r="G37" s="2" t="n">
        <v/>
      </c>
      <c r="H37" s="1" t="n">
        <v>0.06950000000000001</v>
      </c>
      <c r="I37" s="1" t="n">
        <v>0.07000000000000001</v>
      </c>
      <c r="J37" s="2" t="n">
        <v/>
      </c>
      <c r="K37" s="1" t="n">
        <v>0</v>
      </c>
      <c r="L37" s="1" t="n">
        <v>0.001945840783499909</v>
      </c>
      <c r="M37" s="20" t="n">
        <v>0.1987106636175804</v>
      </c>
      <c r="O37" s="93" t="inlineStr">
        <is>
          <t>VARIABLE</t>
        </is>
      </c>
      <c r="P37" s="154" t="inlineStr">
        <is>
          <t>1.4 INVERSION CREDITICIA</t>
        </is>
      </c>
      <c r="Q37" s="154" t="inlineStr">
        <is>
          <t>PRESTAMOS</t>
        </is>
      </c>
      <c r="R37" s="180">
        <f>F44</f>
        <v/>
      </c>
      <c r="S37" s="180">
        <f>G44</f>
        <v/>
      </c>
      <c r="T37" s="180">
        <f>H44</f>
        <v/>
      </c>
      <c r="U37" s="180">
        <f>I44</f>
        <v/>
      </c>
      <c r="V37" s="180">
        <f>J44</f>
        <v/>
      </c>
      <c r="W37" s="180">
        <f>K44</f>
        <v/>
      </c>
      <c r="X37" s="1" t="n"/>
      <c r="Y37" s="2" t="n"/>
      <c r="Z37" s="165" t="n"/>
    </row>
    <row r="38">
      <c r="B38" s="171" t="n"/>
      <c r="C38" s="159" t="n"/>
      <c r="D38" s="151" t="n"/>
      <c r="E38" s="178" t="n"/>
      <c r="F38" s="119" t="n"/>
      <c r="G38" s="23" t="n"/>
      <c r="H38" s="24" t="n"/>
      <c r="I38" s="24" t="n"/>
      <c r="J38" s="23" t="n"/>
      <c r="K38" s="24" t="n"/>
      <c r="L38" s="24" t="n"/>
      <c r="M38" s="25" t="n"/>
      <c r="O38" s="163" t="n"/>
      <c r="Q38" s="154" t="n"/>
      <c r="R38" s="180">
        <f>F45</f>
        <v/>
      </c>
      <c r="S38" s="180">
        <f>G45</f>
        <v/>
      </c>
      <c r="T38" s="14">
        <f>H45</f>
        <v/>
      </c>
      <c r="U38" s="14">
        <f>I45</f>
        <v/>
      </c>
      <c r="V38" s="180">
        <f>J45</f>
        <v/>
      </c>
      <c r="W38" s="205">
        <f>K45</f>
        <v/>
      </c>
      <c r="X38" s="1" t="n"/>
      <c r="Y38" s="2" t="n"/>
      <c r="Z38" s="165" t="n"/>
    </row>
    <row r="39">
      <c r="B39" s="171" t="n"/>
      <c r="C39" s="171" t="n"/>
      <c r="E39" s="154" t="inlineStr">
        <is>
          <t>ACTIVOS DUDOSOS</t>
        </is>
      </c>
      <c r="F39" s="86" t="n"/>
      <c r="G39" s="180" t="n"/>
      <c r="H39" s="180" t="n"/>
      <c r="I39" s="180" t="n"/>
      <c r="J39" s="180" t="n"/>
      <c r="K39" s="180" t="n"/>
      <c r="L39" s="180" t="n"/>
      <c r="M39" s="206" t="n"/>
      <c r="O39" s="163" t="n"/>
      <c r="Q39" s="154" t="n"/>
      <c r="R39" s="180" t="n"/>
      <c r="S39" s="180" t="n"/>
      <c r="T39" s="14" t="n"/>
      <c r="U39" s="14" t="n"/>
      <c r="V39" s="180" t="n"/>
      <c r="W39" s="205" t="n"/>
      <c r="X39" s="1" t="n"/>
      <c r="Y39" s="2" t="n"/>
      <c r="Z39" s="165" t="n"/>
    </row>
    <row r="40">
      <c r="B40" s="171" t="n"/>
      <c r="C40" s="158" t="inlineStr">
        <is>
          <t>1.5 RENTA FIJA</t>
        </is>
      </c>
      <c r="D40" s="174" t="n"/>
      <c r="E40" s="174" t="inlineStr">
        <is>
          <t>A_Bonos corporativos</t>
        </is>
      </c>
      <c r="F40" s="193" t="n"/>
      <c r="G40" s="193" t="n"/>
      <c r="H40" s="193" t="n"/>
      <c r="I40" s="193" t="n"/>
      <c r="J40" s="193" t="n"/>
      <c r="K40" s="193" t="n"/>
      <c r="L40" s="193" t="n"/>
      <c r="M40" s="207" t="n"/>
      <c r="O40" s="163" t="n"/>
      <c r="R40" s="105" t="n"/>
      <c r="S40" s="105" t="n"/>
      <c r="T40" s="105" t="n"/>
      <c r="U40" s="105" t="n"/>
      <c r="V40" s="105" t="n"/>
      <c r="W40" s="105" t="n"/>
      <c r="X40" s="1" t="n"/>
      <c r="Y40" s="2" t="n"/>
      <c r="Z40" s="165" t="n"/>
    </row>
    <row r="41">
      <c r="B41" s="159" t="n"/>
      <c r="C41" s="159" t="n"/>
      <c r="D41" s="151" t="n"/>
      <c r="E41" s="178" t="inlineStr">
        <is>
          <t>A_Bonos soberanos</t>
        </is>
      </c>
      <c r="F41" s="114" t="n"/>
      <c r="G41" s="23" t="n"/>
      <c r="H41" s="24" t="n"/>
      <c r="I41" s="24" t="n"/>
      <c r="J41" s="23" t="n"/>
      <c r="K41" s="24" t="n"/>
      <c r="L41" s="24" t="n"/>
      <c r="M41" s="25" t="n"/>
      <c r="O41" s="163" t="n"/>
      <c r="Q41" s="67" t="inlineStr">
        <is>
          <t>ACTIVO CORTO PLAZO</t>
        </is>
      </c>
      <c r="R41" s="182" t="n"/>
      <c r="S41" s="68" t="n"/>
      <c r="T41" s="126" t="n">
        <v>0.06259700231479078</v>
      </c>
      <c r="U41" s="190" t="n">
        <v>0.02443565064308</v>
      </c>
      <c r="V41" s="68" t="n">
        <v>3.066666666666665</v>
      </c>
      <c r="W41" s="59" t="n">
        <v>0</v>
      </c>
      <c r="Z41" s="165" t="n"/>
    </row>
    <row r="42">
      <c r="B42" s="158" t="inlineStr">
        <is>
          <t>Variable</t>
        </is>
      </c>
      <c r="C42" s="174" t="inlineStr">
        <is>
          <t>Total</t>
        </is>
      </c>
      <c r="D42" s="175" t="n"/>
      <c r="E42" s="175" t="n"/>
      <c r="F42" s="113" t="n"/>
      <c r="G42" s="28" t="n"/>
      <c r="H42" s="29" t="n"/>
      <c r="I42" s="29" t="n"/>
      <c r="J42" s="28" t="n"/>
      <c r="K42" s="29" t="n"/>
      <c r="L42" s="29" t="n"/>
      <c r="M42" s="30" t="n"/>
      <c r="O42" s="163" t="n"/>
      <c r="R42" s="105" t="n"/>
      <c r="S42" s="183" t="n"/>
      <c r="Z42" s="165" t="n"/>
    </row>
    <row r="43">
      <c r="B43" s="171" t="n"/>
      <c r="C43" s="158" t="inlineStr">
        <is>
          <t>1.4 INVERSION CREDITICIA</t>
        </is>
      </c>
      <c r="D43" s="174" t="n"/>
      <c r="E43" s="174" t="n"/>
      <c r="F43" s="122" t="n"/>
      <c r="G43" s="28" t="n"/>
      <c r="H43" s="29" t="n"/>
      <c r="I43" s="29" t="n"/>
      <c r="J43" s="28" t="n"/>
      <c r="K43" s="29" t="n"/>
      <c r="L43" s="29" t="n"/>
      <c r="M43" s="30" t="n"/>
      <c r="O43" s="163" t="n"/>
      <c r="U43" t="n">
        <v>100</v>
      </c>
      <c r="V43" t="n">
        <v>3.030499265913777</v>
      </c>
      <c r="Z43" s="165" t="n"/>
    </row>
    <row r="44">
      <c r="B44" s="171" t="n"/>
      <c r="C44" s="171" t="n"/>
      <c r="D44" s="154" t="n"/>
      <c r="E44" s="154" t="inlineStr">
        <is>
          <t>PRESTAMOS</t>
        </is>
      </c>
      <c r="F44" s="106" t="n">
        <v>449370</v>
      </c>
      <c r="G44" s="106" t="n">
        <v>50.62891307089184</v>
      </c>
      <c r="H44" s="106" t="n">
        <v>0.08233660457974497</v>
      </c>
      <c r="I44" s="106" t="n">
        <v>0.08233660457974497</v>
      </c>
      <c r="J44" s="106" t="n">
        <v/>
      </c>
      <c r="K44" s="106" t="n">
        <v>0</v>
      </c>
      <c r="L44" s="106" t="n">
        <v>0.01614805978132158</v>
      </c>
      <c r="M44" s="106" t="n">
        <v>1.647496744673129</v>
      </c>
      <c r="O44" s="163" t="n"/>
      <c r="Z44" s="165" t="n"/>
    </row>
    <row r="45">
      <c r="B45" s="159" t="n"/>
      <c r="C45" s="159" t="n"/>
      <c r="D45" s="151" t="n"/>
      <c r="E45" s="178" t="n"/>
      <c r="F45" s="119" t="n"/>
      <c r="G45" s="23" t="n"/>
      <c r="H45" s="24" t="n"/>
      <c r="I45" s="24" t="n"/>
      <c r="J45" s="23" t="n"/>
      <c r="K45" s="24" t="n"/>
      <c r="L45" s="24" t="n"/>
      <c r="M45" s="25" t="n"/>
      <c r="O45" s="163" t="n"/>
      <c r="Q45" s="184">
        <f>SUM(R28:R41)</f>
        <v/>
      </c>
      <c r="Z45" s="165" t="n"/>
    </row>
    <row r="46">
      <c r="C46" t="inlineStr">
        <is>
          <t>1.5 ACTIVOS DUDOSOS</t>
        </is>
      </c>
      <c r="E46" s="154" t="inlineStr">
        <is>
          <t>ACTIVOS DUDOSOS</t>
        </is>
      </c>
      <c r="F46" s="106" t="n"/>
      <c r="G46" s="2" t="n"/>
      <c r="H46" s="1" t="n"/>
      <c r="I46" s="1" t="n"/>
      <c r="J46" s="2" t="n"/>
      <c r="K46" s="1" t="n"/>
      <c r="L46" s="1" t="n"/>
      <c r="M46" s="2" t="n"/>
      <c r="O46" s="163" t="n"/>
      <c r="Q46" s="184" t="n"/>
      <c r="Z46" s="165" t="n"/>
    </row>
    <row r="47" ht="15.75" customHeight="1" s="149" thickBot="1">
      <c r="A47" s="156" t="inlineStr">
        <is>
          <t>2. PASIVO</t>
        </is>
      </c>
      <c r="B47" s="174" t="inlineStr">
        <is>
          <t>Total</t>
        </is>
      </c>
      <c r="C47" s="175" t="n"/>
      <c r="D47" s="175" t="n"/>
      <c r="E47" s="175" t="n"/>
      <c r="F47" s="112" t="n"/>
      <c r="G47" s="2" t="n"/>
      <c r="H47" s="1" t="n"/>
      <c r="I47" s="1" t="n"/>
      <c r="J47" s="2" t="n"/>
      <c r="K47" s="1" t="n"/>
      <c r="L47" s="1" t="n"/>
      <c r="M47" s="2" t="n"/>
      <c r="O47" s="166" t="n"/>
      <c r="P47" s="94" t="inlineStr">
        <is>
          <t>Diferencia vs. Izquierda</t>
        </is>
      </c>
      <c r="Q47" s="208">
        <f>(Q45)-(F35+F36+F33+F37+F45+F34+F43+F39+F44)</f>
        <v/>
      </c>
      <c r="R47" s="167" t="n"/>
      <c r="S47" s="167" t="n"/>
      <c r="T47" s="167" t="n"/>
      <c r="U47" s="167" t="n"/>
      <c r="V47" s="167" t="n"/>
      <c r="W47" s="167" t="n"/>
      <c r="X47" s="167" t="n"/>
      <c r="Y47" s="167" t="n"/>
      <c r="Z47" s="168" t="n"/>
    </row>
    <row r="48">
      <c r="B48" s="156" t="inlineStr">
        <is>
          <t>Fijo</t>
        </is>
      </c>
      <c r="C48" s="154" t="inlineStr">
        <is>
          <t>Total</t>
        </is>
      </c>
      <c r="F48" s="112" t="n"/>
      <c r="G48" s="2" t="n"/>
      <c r="H48" s="1" t="n"/>
      <c r="I48" s="1" t="n"/>
      <c r="J48" s="2" t="n"/>
      <c r="K48" s="1" t="n"/>
      <c r="L48" s="1" t="n"/>
      <c r="M48" s="2" t="n"/>
    </row>
    <row r="49">
      <c r="C49" s="154" t="inlineStr">
        <is>
          <t>2.2 DEPOSITOS A PLAZO DE CLIENTES</t>
        </is>
      </c>
      <c r="D49" s="154" t="n"/>
      <c r="E49" s="154" t="inlineStr">
        <is>
          <t>PLAZO</t>
        </is>
      </c>
      <c r="F49" s="112" t="n"/>
      <c r="G49" s="2" t="n"/>
      <c r="H49" s="1" t="n"/>
      <c r="I49" s="1" t="n"/>
      <c r="J49" s="2" t="n"/>
      <c r="K49" s="1" t="n"/>
      <c r="L49" s="1" t="n"/>
      <c r="M49" s="2" t="n"/>
    </row>
    <row r="50">
      <c r="C50" s="154" t="inlineStr">
        <is>
          <t>2.3 DEPOSITOS A LA VISTA DE CLIENTES</t>
        </is>
      </c>
      <c r="D50" s="154" t="n"/>
      <c r="E50" s="154" t="inlineStr">
        <is>
          <t>CTAS NO REMUNERADAS</t>
        </is>
      </c>
      <c r="F50" s="112" t="n"/>
      <c r="G50" s="2" t="n"/>
      <c r="H50" s="1" t="n"/>
      <c r="I50" s="1" t="n"/>
      <c r="J50" s="2" t="n"/>
      <c r="K50" s="1" t="n"/>
      <c r="L50" s="1" t="n"/>
      <c r="M50" s="2" t="n"/>
    </row>
    <row r="51">
      <c r="E51" s="154" t="inlineStr">
        <is>
          <t>CTAS REMUNERADAS</t>
        </is>
      </c>
      <c r="F51" s="112" t="n"/>
      <c r="G51" s="2" t="n"/>
      <c r="H51" s="1" t="n"/>
      <c r="I51" s="1" t="n"/>
      <c r="J51" s="2" t="n"/>
      <c r="K51" s="1" t="n"/>
      <c r="L51" s="1" t="n"/>
      <c r="M51" s="2" t="n"/>
    </row>
    <row r="52">
      <c r="B52" s="156" t="n"/>
      <c r="C52" t="inlineStr">
        <is>
          <t>2.5 CARTERA MAYORISTA</t>
        </is>
      </c>
      <c r="E52" s="154" t="inlineStr">
        <is>
          <t>P_Emisiones T2</t>
        </is>
      </c>
      <c r="F52" s="112" t="n"/>
      <c r="G52" s="2" t="n"/>
      <c r="H52" s="1" t="n"/>
      <c r="I52" s="1" t="n"/>
      <c r="J52" s="2" t="n"/>
      <c r="K52" s="1" t="n"/>
      <c r="L52" s="1" t="n"/>
      <c r="M52" s="2" t="n"/>
    </row>
    <row r="53">
      <c r="B53" s="156" t="inlineStr">
        <is>
          <t>Variable</t>
        </is>
      </c>
      <c r="C53" s="154" t="inlineStr">
        <is>
          <t>Total</t>
        </is>
      </c>
      <c r="F53" s="180" t="n"/>
      <c r="G53" s="180" t="n"/>
      <c r="H53" s="180" t="n"/>
      <c r="I53" s="180" t="n"/>
      <c r="J53" s="180" t="n"/>
      <c r="K53" s="180" t="n"/>
      <c r="L53" s="180" t="n"/>
      <c r="M53" s="180" t="n"/>
    </row>
    <row r="54">
      <c r="C54" s="154" t="inlineStr">
        <is>
          <t>2.3 DEPOSITOS A LA VISTA DE CLIENTES</t>
        </is>
      </c>
      <c r="D54" s="154" t="n"/>
      <c r="E54" s="154" t="inlineStr">
        <is>
          <t>CTAS REMUNERADAS</t>
        </is>
      </c>
      <c r="F54" s="180" t="n"/>
      <c r="G54" s="180" t="n"/>
      <c r="H54" s="180" t="n"/>
      <c r="I54" s="180" t="n"/>
      <c r="J54" s="180" t="n"/>
      <c r="K54" s="180" t="n"/>
      <c r="L54" s="180" t="n"/>
      <c r="M54" s="180" t="n"/>
    </row>
    <row r="56">
      <c r="A56" s="9" t="inlineStr">
        <is>
          <t>NMD REF</t>
        </is>
      </c>
      <c r="F56" s="12" t="n"/>
    </row>
    <row r="57">
      <c r="A57" t="inlineStr">
        <is>
          <t>01. JER. A&amp;P</t>
        </is>
      </c>
      <c r="B57" t="inlineStr">
        <is>
          <t>Variable_Fijo</t>
        </is>
      </c>
      <c r="C57" t="inlineStr">
        <is>
          <t>02. JER. BALANCE</t>
        </is>
      </c>
      <c r="E57" t="inlineStr">
        <is>
          <t>Nmd Ref</t>
        </is>
      </c>
      <c r="F57" s="13" t="inlineStr">
        <is>
          <t>Notional Today</t>
        </is>
      </c>
      <c r="G57" t="inlineStr">
        <is>
          <t>Vto medio</t>
        </is>
      </c>
      <c r="H57" t="inlineStr">
        <is>
          <t>Cupon medio</t>
        </is>
      </c>
      <c r="I57" t="inlineStr">
        <is>
          <t>Spread medio</t>
        </is>
      </c>
      <c r="J57" t="inlineStr">
        <is>
          <t>Reprecio medio</t>
        </is>
      </c>
      <c r="K57" t="inlineStr">
        <is>
          <t>Floor medio</t>
        </is>
      </c>
      <c r="L57" t="inlineStr">
        <is>
          <t>Dur. Efec. Pond</t>
        </is>
      </c>
      <c r="M57" t="inlineStr">
        <is>
          <t>Dur. Mac. Pond</t>
        </is>
      </c>
    </row>
    <row r="58">
      <c r="A58" s="6" t="inlineStr">
        <is>
          <t>Grand Total</t>
        </is>
      </c>
      <c r="B58" s="6" t="n"/>
      <c r="C58" s="6" t="n"/>
      <c r="D58" s="6" t="n"/>
      <c r="E58" s="6" t="n"/>
      <c r="F58" s="112" t="n"/>
      <c r="G58" s="2" t="n"/>
      <c r="H58" s="1" t="n"/>
      <c r="I58" s="1" t="n"/>
      <c r="J58" s="2" t="n"/>
      <c r="K58" s="1" t="n"/>
      <c r="L58" s="1" t="n"/>
      <c r="M58" s="2" t="n"/>
    </row>
    <row r="59">
      <c r="A59" s="173" t="inlineStr">
        <is>
          <t>1. ACTIVO</t>
        </is>
      </c>
      <c r="B59" t="inlineStr">
        <is>
          <t>Total</t>
        </is>
      </c>
      <c r="F59" s="112" t="n"/>
      <c r="G59" s="2" t="n"/>
      <c r="H59" s="1" t="n"/>
      <c r="I59" s="1" t="n"/>
      <c r="J59" s="2" t="n"/>
      <c r="K59" s="1" t="n"/>
      <c r="L59" s="1" t="n"/>
      <c r="M59" s="2" t="n"/>
    </row>
    <row r="60">
      <c r="A60" s="173" t="n"/>
      <c r="B60" s="173" t="inlineStr">
        <is>
          <t>Fijo</t>
        </is>
      </c>
      <c r="C60" s="173" t="inlineStr">
        <is>
          <t>Total</t>
        </is>
      </c>
      <c r="D60" s="173" t="n"/>
      <c r="E60" s="173" t="n"/>
      <c r="F60" s="112" t="n"/>
      <c r="G60" s="2" t="n"/>
      <c r="H60" s="1" t="n"/>
      <c r="I60" s="1" t="n"/>
      <c r="J60" s="2" t="n"/>
      <c r="K60" s="1" t="n"/>
      <c r="L60" s="1" t="n"/>
      <c r="M60" s="2" t="n"/>
    </row>
    <row r="61">
      <c r="A61" s="173" t="n"/>
      <c r="B61" s="173" t="n"/>
      <c r="C61" s="173" t="inlineStr">
        <is>
          <t>1.2 CARTERA MAYORISTA</t>
        </is>
      </c>
      <c r="D61" s="173" t="n"/>
      <c r="E61" s="173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</row>
    <row r="62">
      <c r="A62" s="173" t="n"/>
      <c r="B62" s="173" t="n"/>
      <c r="C62" s="173" t="inlineStr">
        <is>
          <t>1.3 DEPOSITOS OTRAS EECC</t>
        </is>
      </c>
      <c r="D62" s="173" t="n"/>
      <c r="E62" s="173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</row>
    <row r="63">
      <c r="A63" s="173" t="n"/>
      <c r="B63" s="173" t="n"/>
      <c r="C63" s="173" t="inlineStr">
        <is>
          <t>1.4 INVERSION CREDITICIA</t>
        </is>
      </c>
      <c r="D63" s="154" t="inlineStr">
        <is>
          <t>ACTIVO CORTO PLAZO</t>
        </is>
      </c>
      <c r="E63" s="154" t="n"/>
      <c r="F63" s="112" t="n"/>
      <c r="G63" s="2" t="n"/>
      <c r="H63" s="1" t="n"/>
      <c r="I63" s="1" t="n"/>
      <c r="J63" s="2" t="n"/>
      <c r="K63" s="1" t="n"/>
      <c r="L63" s="1" t="n"/>
      <c r="M63" s="2" t="n"/>
      <c r="N63" s="180" t="n"/>
    </row>
    <row r="64">
      <c r="A64" s="173" t="n"/>
      <c r="B64" s="173" t="n"/>
      <c r="C64" s="173" t="n"/>
      <c r="D64" s="154" t="inlineStr">
        <is>
          <t>CREDITOS</t>
        </is>
      </c>
      <c r="E64" s="154" t="n"/>
      <c r="F64" s="112" t="n"/>
      <c r="G64" s="2" t="n"/>
      <c r="H64" s="1" t="n"/>
      <c r="I64" s="1" t="n"/>
      <c r="J64" s="2" t="n"/>
      <c r="K64" s="1" t="n"/>
      <c r="L64" s="1" t="n"/>
      <c r="M64" s="2" t="n"/>
      <c r="N64" s="180" t="n"/>
    </row>
    <row r="65">
      <c r="A65" s="173" t="n"/>
      <c r="B65" s="173" t="n"/>
      <c r="C65" s="173" t="n"/>
      <c r="D65" s="154" t="inlineStr">
        <is>
          <t>DESCUBIERTOS</t>
        </is>
      </c>
      <c r="E65" s="173" t="inlineStr">
        <is>
          <t>NMD_DEU</t>
        </is>
      </c>
      <c r="F65" s="112" t="n"/>
      <c r="G65" s="2" t="n"/>
      <c r="H65" s="1" t="n"/>
      <c r="I65" s="1" t="n"/>
      <c r="J65" s="2" t="n"/>
      <c r="K65" s="1" t="n"/>
      <c r="L65" s="1" t="n"/>
      <c r="M65" s="2" t="n"/>
      <c r="N65" s="180" t="n"/>
    </row>
    <row r="66">
      <c r="A66" s="173" t="n"/>
      <c r="B66" s="173" t="n"/>
      <c r="C66" s="173" t="n"/>
      <c r="D66" s="173" t="inlineStr">
        <is>
          <t>PRESTAMOS</t>
        </is>
      </c>
      <c r="E66" s="173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</row>
    <row r="67">
      <c r="A67" s="173" t="n"/>
      <c r="B67" s="173" t="n"/>
      <c r="C67" s="173" t="n"/>
      <c r="D67" s="173" t="inlineStr">
        <is>
          <t>TARJETAS CREDITO</t>
        </is>
      </c>
      <c r="E67" s="173" t="n"/>
      <c r="F67" s="112" t="n"/>
      <c r="G67" s="2" t="n"/>
      <c r="H67" s="1" t="n"/>
      <c r="I67" s="1" t="n"/>
      <c r="J67" s="2" t="n"/>
      <c r="K67" s="1" t="n"/>
      <c r="L67" s="1" t="n"/>
      <c r="M67" s="2" t="n"/>
      <c r="N67" s="180" t="n"/>
    </row>
    <row r="68">
      <c r="A68" s="173" t="n"/>
      <c r="B68" s="173" t="n"/>
      <c r="C68" s="173" t="inlineStr">
        <is>
          <t>1.5 RENTA FIJA</t>
        </is>
      </c>
      <c r="D68" s="173" t="n"/>
      <c r="E68" s="154" t="n"/>
      <c r="F68" s="112" t="n"/>
      <c r="G68" s="2" t="n"/>
      <c r="H68" s="1" t="n"/>
      <c r="I68" s="1" t="n"/>
      <c r="J68" s="2" t="n"/>
      <c r="K68" s="1" t="n"/>
      <c r="L68" s="1" t="n"/>
      <c r="M68" s="2" t="n"/>
      <c r="N68" s="180" t="n"/>
    </row>
    <row r="69">
      <c r="A69" s="173" t="n"/>
      <c r="B69" s="173" t="n"/>
      <c r="C69" s="154" t="inlineStr">
        <is>
          <t>1.6 ACTIVOS DUDOSOS</t>
        </is>
      </c>
      <c r="D69" s="154" t="n"/>
      <c r="E69" s="154" t="inlineStr">
        <is>
          <t>NMD_DUDOSOS</t>
        </is>
      </c>
      <c r="F69" s="112" t="n"/>
      <c r="G69" s="2" t="n"/>
      <c r="H69" s="1" t="n"/>
      <c r="I69" s="1" t="n"/>
      <c r="J69" s="2" t="n"/>
      <c r="K69" s="1" t="n"/>
      <c r="L69" s="1" t="n"/>
      <c r="M69" s="2" t="n"/>
      <c r="N69" s="180" t="n"/>
    </row>
    <row r="70">
      <c r="A70" s="173" t="n"/>
      <c r="B70" s="173" t="inlineStr">
        <is>
          <t>Variable</t>
        </is>
      </c>
      <c r="C70" s="173" t="inlineStr">
        <is>
          <t>Total</t>
        </is>
      </c>
      <c r="D70" s="173" t="n"/>
      <c r="E70" s="173" t="n"/>
      <c r="F70" s="112" t="n"/>
      <c r="G70" s="2" t="n"/>
      <c r="H70" s="1" t="n"/>
      <c r="I70" s="1" t="n"/>
      <c r="J70" s="2" t="n"/>
      <c r="K70" s="1" t="n"/>
      <c r="L70" s="1" t="n"/>
      <c r="M70" s="2" t="n"/>
      <c r="N70" s="180" t="n"/>
    </row>
    <row r="71">
      <c r="A71" s="173" t="n"/>
      <c r="B71" s="173" t="n"/>
      <c r="C71" s="173" t="inlineStr">
        <is>
          <t>1.4 INVERSION CREDITICIA</t>
        </is>
      </c>
      <c r="D71" s="173" t="inlineStr">
        <is>
          <t>ACTIVO CORTO PLAZO</t>
        </is>
      </c>
      <c r="E71" s="173" t="n"/>
      <c r="F71" s="112" t="n"/>
      <c r="G71" s="2" t="n"/>
      <c r="H71" s="1" t="n"/>
      <c r="I71" s="1" t="n"/>
      <c r="J71" s="2" t="n"/>
      <c r="K71" s="1" t="n"/>
      <c r="L71" s="1" t="n"/>
      <c r="M71" s="2" t="n"/>
      <c r="N71" s="180" t="n"/>
    </row>
    <row r="72">
      <c r="A72" s="173" t="n"/>
      <c r="B72" s="173" t="n"/>
      <c r="C72" s="173" t="n"/>
      <c r="D72" s="173" t="inlineStr">
        <is>
          <t>PRESTAMOS</t>
        </is>
      </c>
      <c r="E72" s="173" t="n"/>
      <c r="F72" s="112" t="n"/>
      <c r="G72" s="2" t="n"/>
      <c r="H72" s="1" t="n"/>
      <c r="I72" s="1" t="n"/>
      <c r="J72" s="2" t="n"/>
      <c r="K72" s="1" t="n"/>
      <c r="L72" s="1" t="n"/>
      <c r="M72" s="2" t="n"/>
      <c r="N72" s="180" t="n"/>
    </row>
    <row r="73">
      <c r="A73" s="173" t="n"/>
      <c r="B73" s="173" t="n"/>
      <c r="C73" s="173" t="n"/>
      <c r="D73" s="173" t="n"/>
      <c r="E73" s="173" t="n"/>
      <c r="F73" s="112" t="n"/>
      <c r="G73" s="2" t="n"/>
      <c r="H73" s="1" t="n"/>
      <c r="I73" s="1" t="n"/>
      <c r="J73" s="2" t="n"/>
      <c r="K73" s="1" t="n"/>
      <c r="L73" s="1" t="n"/>
      <c r="M73" s="2" t="n"/>
      <c r="N73" s="180" t="n"/>
    </row>
    <row r="74">
      <c r="A74" s="173" t="inlineStr">
        <is>
          <t>2. PASIVO</t>
        </is>
      </c>
      <c r="B74" s="173" t="inlineStr">
        <is>
          <t>Total</t>
        </is>
      </c>
      <c r="C74" s="173" t="n"/>
      <c r="D74" s="173" t="n"/>
      <c r="E74" s="173" t="n"/>
      <c r="F74" s="112" t="n"/>
      <c r="G74" s="2" t="n"/>
      <c r="H74" s="1" t="n"/>
      <c r="I74" s="1" t="n"/>
      <c r="J74" s="2" t="n"/>
      <c r="K74" s="1" t="n"/>
      <c r="L74" s="1" t="n"/>
      <c r="M74" s="2" t="n"/>
      <c r="N74" s="180" t="n"/>
      <c r="P74" t="inlineStr">
        <is>
          <t>Para ALCO G26,G27,G28</t>
        </is>
      </c>
    </row>
    <row r="75">
      <c r="A75" s="173" t="n"/>
      <c r="B75" s="173" t="inlineStr">
        <is>
          <t>Fijo</t>
        </is>
      </c>
      <c r="C75" s="173" t="inlineStr">
        <is>
          <t>Total</t>
        </is>
      </c>
      <c r="D75" s="173" t="n"/>
      <c r="E75" s="154" t="n"/>
      <c r="F75" s="112" t="n"/>
      <c r="G75" s="2" t="n"/>
      <c r="H75" s="1" t="n"/>
      <c r="I75" s="1" t="n"/>
      <c r="J75" s="2" t="n"/>
      <c r="K75" s="1" t="n"/>
      <c r="L75" s="1" t="n"/>
      <c r="M75" s="2" t="n"/>
    </row>
    <row r="76">
      <c r="A76" s="173" t="n"/>
      <c r="B76" s="173" t="n"/>
      <c r="C76" s="154" t="inlineStr">
        <is>
          <t>2.2 DEPOSITOS A PLAZO DE CLIENTES</t>
        </is>
      </c>
      <c r="D76" s="154" t="inlineStr">
        <is>
          <t>PLAZO</t>
        </is>
      </c>
      <c r="E76" s="36" t="n"/>
      <c r="F76" s="112" t="n"/>
      <c r="G76" s="2" t="n"/>
      <c r="H76" s="1" t="n"/>
      <c r="I76" s="1" t="n"/>
      <c r="J76" s="2" t="n"/>
      <c r="K76" s="1" t="n"/>
      <c r="L76" s="1" t="n"/>
      <c r="M76" s="2" t="n"/>
      <c r="N76" s="180" t="n"/>
      <c r="O76" s="180" t="n"/>
      <c r="P76" s="183">
        <f>F76/1000000</f>
        <v/>
      </c>
    </row>
    <row r="77">
      <c r="A77" s="173" t="n"/>
      <c r="B77" s="173" t="n"/>
      <c r="C77" s="36" t="inlineStr">
        <is>
          <t>2.3 DEPOSITOS A LA VISTA DE CLIENTES</t>
        </is>
      </c>
      <c r="D77" s="36" t="inlineStr">
        <is>
          <t>CTAS NO REMUNERADAS</t>
        </is>
      </c>
      <c r="E77" s="40" t="inlineStr">
        <is>
          <t>NMD_MAY_NOFIN</t>
        </is>
      </c>
      <c r="F77" s="112" t="inlineStr">
        <is>
          <t>NMD_MAY_NOFIN</t>
        </is>
      </c>
      <c r="G77" s="2" t="n">
        <v>4648071.82</v>
      </c>
      <c r="H77" s="1" t="n"/>
      <c r="I77" s="1" t="n">
        <v>0</v>
      </c>
      <c r="J77" s="2" t="n">
        <v>0</v>
      </c>
      <c r="K77" s="1" t="n"/>
      <c r="L77" s="1" t="n">
        <v>0</v>
      </c>
      <c r="M77" s="2" t="n">
        <v>0.01575901848017092</v>
      </c>
      <c r="N77" s="180" t="n">
        <v>1.623881188770905</v>
      </c>
      <c r="O77" s="180" t="n"/>
      <c r="P77" s="183">
        <f>F77/1000000</f>
        <v/>
      </c>
    </row>
    <row r="78">
      <c r="A78" s="173" t="n"/>
      <c r="B78" s="173" t="n"/>
      <c r="C78" s="40" t="n"/>
      <c r="D78" s="40" t="n"/>
      <c r="E78" s="42" t="inlineStr">
        <is>
          <t>NMD_MIN_NONTR</t>
        </is>
      </c>
      <c r="F78" s="112" t="inlineStr">
        <is>
          <t>NMD_MIN_NONTR</t>
        </is>
      </c>
      <c r="G78" s="2" t="n">
        <v>105765.45000001</v>
      </c>
      <c r="H78" s="1" t="n"/>
      <c r="I78" s="1" t="n">
        <v>0</v>
      </c>
      <c r="J78" s="2" t="n">
        <v>0</v>
      </c>
      <c r="K78" s="1" t="n"/>
      <c r="L78" s="1" t="n">
        <v>0</v>
      </c>
      <c r="M78" s="2" t="n">
        <v>0.02452984548286587</v>
      </c>
      <c r="N78" s="180" t="n">
        <v>2.527215778662711</v>
      </c>
      <c r="O78" s="180" t="n"/>
      <c r="P78" s="209">
        <f>F78/1000000</f>
        <v/>
      </c>
    </row>
    <row r="79">
      <c r="A79" s="173" t="n"/>
      <c r="B79" s="173" t="n"/>
      <c r="C79" s="40" t="n"/>
      <c r="D79" s="173" t="n"/>
      <c r="E79" s="173" t="inlineStr">
        <is>
          <t>NMD_MIN_TR</t>
        </is>
      </c>
      <c r="F79" s="112" t="inlineStr">
        <is>
          <t>NMD_MIN_TR</t>
        </is>
      </c>
      <c r="G79" s="2" t="n">
        <v>97536.77000000098</v>
      </c>
      <c r="H79" s="1" t="n"/>
      <c r="I79" s="1" t="n">
        <v>0</v>
      </c>
      <c r="J79" s="2" t="n">
        <v>0</v>
      </c>
      <c r="K79" s="1" t="n"/>
      <c r="L79" s="1" t="n">
        <v>0</v>
      </c>
      <c r="M79" s="2" t="n">
        <v>0.03904091221196723</v>
      </c>
      <c r="N79" s="180" t="n">
        <v>4.035478648302924</v>
      </c>
      <c r="O79" s="180" t="n"/>
      <c r="P79" s="190">
        <f>F79/1000000</f>
        <v/>
      </c>
    </row>
    <row r="80">
      <c r="A80" s="173" t="n"/>
      <c r="B80" s="173" t="n"/>
      <c r="C80" s="40" t="n"/>
      <c r="D80" s="173" t="inlineStr">
        <is>
          <t>CTAS REMUNERADAS</t>
        </is>
      </c>
      <c r="E80" s="173" t="inlineStr">
        <is>
          <t>NMD_MIN_NONTR</t>
        </is>
      </c>
      <c r="F80" s="112" t="inlineStr">
        <is>
          <t>NMD_MIN_NONTR</t>
        </is>
      </c>
      <c r="G80" s="2" t="n">
        <v>10149493.64</v>
      </c>
      <c r="H80" s="1" t="n"/>
      <c r="I80" s="1" t="n">
        <v>0.02152777352250253</v>
      </c>
      <c r="J80" s="2" t="n">
        <v>0.0136734842271402</v>
      </c>
      <c r="K80" s="1" t="n"/>
      <c r="L80" s="1" t="n">
        <v>0</v>
      </c>
      <c r="M80" s="2" t="n">
        <v>0.003900071707377412</v>
      </c>
      <c r="N80" s="180" t="n">
        <v>2.602441512300443</v>
      </c>
      <c r="O80" s="180" t="n"/>
      <c r="P80" s="209">
        <f>F80/1000000</f>
        <v/>
      </c>
      <c r="Q80" s="209">
        <f>P78+P80</f>
        <v/>
      </c>
    </row>
    <row r="81">
      <c r="A81" s="173" t="n"/>
      <c r="B81" s="173" t="n"/>
      <c r="C81" s="40" t="n"/>
      <c r="D81" s="173" t="n"/>
      <c r="E81" s="173" t="inlineStr">
        <is>
          <t>NMD_MIN_TR</t>
        </is>
      </c>
      <c r="F81" s="112" t="inlineStr">
        <is>
          <t>NMD_MIN_TR</t>
        </is>
      </c>
      <c r="G81" s="2" t="n">
        <v>792179.5099999999</v>
      </c>
      <c r="H81" s="1" t="n"/>
      <c r="I81" s="1" t="n">
        <v>0.02288909725776674</v>
      </c>
      <c r="J81" s="2" t="n">
        <v>0.008143793822690516</v>
      </c>
      <c r="K81" s="1" t="n"/>
      <c r="L81" s="1" t="n">
        <v>0</v>
      </c>
      <c r="M81" s="2" t="n">
        <v>0.004282792312535842</v>
      </c>
      <c r="N81" s="180" t="n">
        <v>4.056774035870783</v>
      </c>
      <c r="O81" s="180" t="n"/>
      <c r="P81" s="190">
        <f>F81/1000000</f>
        <v/>
      </c>
      <c r="Q81" s="190">
        <f>P79+P81</f>
        <v/>
      </c>
    </row>
    <row r="82">
      <c r="A82" s="173" t="n"/>
      <c r="B82" s="173" t="n"/>
      <c r="C82" s="41" t="inlineStr">
        <is>
          <t>2.5 Cartera Mayorista</t>
        </is>
      </c>
      <c r="D82" s="42" t="n"/>
      <c r="E82" s="173" t="n"/>
      <c r="F82" s="85" t="n"/>
      <c r="G82" s="2" t="n"/>
      <c r="H82" s="106" t="n"/>
      <c r="I82" s="129" t="n"/>
      <c r="J82" s="2" t="n"/>
      <c r="K82" s="1" t="n"/>
      <c r="L82" s="1" t="n"/>
      <c r="M82" s="2" t="n"/>
      <c r="P82" s="183" t="n"/>
    </row>
    <row r="83">
      <c r="A83" s="173" t="n"/>
      <c r="B83" s="173" t="inlineStr">
        <is>
          <t>Variable</t>
        </is>
      </c>
      <c r="C83" s="173" t="inlineStr">
        <is>
          <t>Total</t>
        </is>
      </c>
      <c r="D83" s="173" t="n"/>
      <c r="E83" s="37" t="inlineStr">
        <is>
          <t>NMD_MIN_NONTR</t>
        </is>
      </c>
      <c r="F83" s="193" t="n"/>
      <c r="G83" s="28" t="n"/>
      <c r="H83" s="29" t="n"/>
      <c r="I83" s="29" t="n"/>
      <c r="J83" s="33" t="n"/>
      <c r="K83" s="29" t="n"/>
      <c r="L83" s="29" t="n"/>
      <c r="M83" s="28" t="n"/>
      <c r="N83" s="175" t="n"/>
      <c r="O83" s="210">
        <f>F83/1000000</f>
        <v/>
      </c>
    </row>
    <row r="84">
      <c r="A84" s="173" t="n"/>
      <c r="B84" s="173" t="n"/>
      <c r="C84" s="36" t="inlineStr">
        <is>
          <t>2.3 DEPOSITOS A LA VISTA DE CLIENTES</t>
        </is>
      </c>
      <c r="D84" s="37" t="n"/>
      <c r="E84" s="42" t="inlineStr">
        <is>
          <t>NMD_MIN_TR</t>
        </is>
      </c>
      <c r="F84" s="199" t="n"/>
      <c r="G84" s="23" t="n"/>
      <c r="H84" s="24" t="n"/>
      <c r="I84" s="24" t="n"/>
      <c r="J84" s="34" t="n"/>
      <c r="K84" s="24" t="n"/>
      <c r="L84" s="24" t="n"/>
      <c r="M84" s="23" t="n"/>
      <c r="N84" s="151" t="n"/>
      <c r="O84" s="211">
        <f>F84/1000000</f>
        <v/>
      </c>
    </row>
    <row r="85">
      <c r="A85" s="173" t="n"/>
      <c r="B85" s="173" t="n"/>
      <c r="C85" s="41" t="n"/>
      <c r="D85" s="42" t="n"/>
    </row>
    <row r="86">
      <c r="F86" s="180" t="n"/>
      <c r="G86" s="180" t="n"/>
      <c r="H86" s="14" t="n"/>
      <c r="I86" s="14" t="n"/>
      <c r="J86" s="180" t="n"/>
      <c r="K86" s="14" t="n"/>
      <c r="L86" s="14" t="n"/>
      <c r="M86" s="180" t="n"/>
      <c r="N86" s="180" t="n"/>
      <c r="O86" s="180" t="n"/>
    </row>
    <row r="87">
      <c r="C87" s="173" t="inlineStr">
        <is>
          <t>2.5 CARTERA MAYORISTA</t>
        </is>
      </c>
      <c r="D87" s="173" t="n"/>
    </row>
    <row r="91">
      <c r="G91" s="53" t="n"/>
    </row>
    <row r="92">
      <c r="G92" s="53" t="n"/>
    </row>
    <row r="93">
      <c r="G93" s="53" t="n"/>
    </row>
    <row r="94">
      <c r="G94" s="53" t="n"/>
    </row>
    <row r="95">
      <c r="G95" s="53" t="n"/>
    </row>
  </sheetData>
  <mergeCells count="41">
    <mergeCell ref="B16:C16"/>
    <mergeCell ref="R1:Y1"/>
    <mergeCell ref="C43:C45"/>
    <mergeCell ref="B30:B41"/>
    <mergeCell ref="O4:Q4"/>
    <mergeCell ref="F25:M25"/>
    <mergeCell ref="C33:C38"/>
    <mergeCell ref="P21:P22"/>
    <mergeCell ref="B6:B12"/>
    <mergeCell ref="B42:B45"/>
    <mergeCell ref="B17:B20"/>
    <mergeCell ref="E1:L1"/>
    <mergeCell ref="C48:E48"/>
    <mergeCell ref="P17:P20"/>
    <mergeCell ref="B47:E47"/>
    <mergeCell ref="C40:C41"/>
    <mergeCell ref="A4:C4"/>
    <mergeCell ref="AF23:AJ26"/>
    <mergeCell ref="B48:B51"/>
    <mergeCell ref="B53:B54"/>
    <mergeCell ref="F26:M26"/>
    <mergeCell ref="O16:O22"/>
    <mergeCell ref="C53:E53"/>
    <mergeCell ref="P16:Q16"/>
    <mergeCell ref="E2:L2"/>
    <mergeCell ref="C30:E30"/>
    <mergeCell ref="P37:P38"/>
    <mergeCell ref="P28:P31"/>
    <mergeCell ref="P6:P10"/>
    <mergeCell ref="C42:E42"/>
    <mergeCell ref="B5:C5"/>
    <mergeCell ref="A28:E28"/>
    <mergeCell ref="A29:A45"/>
    <mergeCell ref="B13:B15"/>
    <mergeCell ref="R2:Y2"/>
    <mergeCell ref="B29:E29"/>
    <mergeCell ref="A47:A54"/>
    <mergeCell ref="P5:Q5"/>
    <mergeCell ref="P13:P15"/>
    <mergeCell ref="B21:B22"/>
    <mergeCell ref="O5:O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nfq</dc:creator>
  <dcterms:created xmlns:dcterms="http://purl.org/dc/terms/" xmlns:xsi="http://www.w3.org/2001/XMLSchema-instance" xsi:type="dcterms:W3CDTF">2020-09-11T11:18:22Z</dcterms:created>
  <dcterms:modified xmlns:dcterms="http://purl.org/dc/terms/" xmlns:xsi="http://www.w3.org/2001/XMLSchema-instance" xsi:type="dcterms:W3CDTF">2025-06-03T17:23:15Z</dcterms:modified>
  <cp:lastModifiedBy>Roberto Flores Una</cp:lastModifiedBy>
</cp:coreProperties>
</file>